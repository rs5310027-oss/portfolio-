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84ecfd387129d26/Desktop/Project github/@git i uploaded project/Best Projects for Data Analyst Portfolio/Business Intelligence Projects/Excel Projects/Excel Visual/"/>
    </mc:Choice>
  </mc:AlternateContent>
  <xr:revisionPtr revIDLastSave="0" documentId="8_{B0A979BD-E3F4-4686-8B48-F5630CE6FEC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HR_Dashboard" sheetId="1" r:id="rId1"/>
    <sheet name="ChartData" sheetId="2" state="hidden" r:id="rId2"/>
    <sheet name="Performance Metrics" sheetId="3" r:id="rId3"/>
    <sheet name="Workforce Overview" sheetId="4" r:id="rId4"/>
    <sheet name="Summary Data" sheetId="5" r:id="rId5"/>
  </sheets>
  <calcPr calcId="0"/>
</workbook>
</file>

<file path=xl/sharedStrings.xml><?xml version="1.0" encoding="utf-8"?>
<sst xmlns="http://schemas.openxmlformats.org/spreadsheetml/2006/main" count="234" uniqueCount="148">
  <si>
    <t>🏢  HR ANALYTICS DASHBOARD</t>
  </si>
  <si>
    <t>Total Workforce Analysis  |  100,000 Employees  |  6 Departments  |  5 Job Roles</t>
  </si>
  <si>
    <t>👥 Total
Employees</t>
  </si>
  <si>
    <t>💰 Avg Salary</t>
  </si>
  <si>
    <t>⭐ Avg Performance</t>
  </si>
  <si>
    <t>🕐 Avg Work Hrs/Wk</t>
  </si>
  <si>
    <t>📚 Avg Training Hrs</t>
  </si>
  <si>
    <t>100,000</t>
  </si>
  <si>
    <t>$109,935</t>
  </si>
  <si>
    <t>3.0 / 5</t>
  </si>
  <si>
    <t>44.98 hrs</t>
  </si>
  <si>
    <t>100 hrs</t>
  </si>
  <si>
    <t>Department</t>
  </si>
  <si>
    <t>Headcount</t>
  </si>
  <si>
    <t>Gender</t>
  </si>
  <si>
    <t>Count</t>
  </si>
  <si>
    <t>Rating</t>
  </si>
  <si>
    <t>Age_Group</t>
  </si>
  <si>
    <t>Level</t>
  </si>
  <si>
    <t>Avg_Salary</t>
  </si>
  <si>
    <t>Job_Role</t>
  </si>
  <si>
    <t>Avg_Perf</t>
  </si>
  <si>
    <t>Avg_Training</t>
  </si>
  <si>
    <t>Finance</t>
  </si>
  <si>
    <t>Male</t>
  </si>
  <si>
    <t>18-25</t>
  </si>
  <si>
    <t>PhD</t>
  </si>
  <si>
    <t>Analyst</t>
  </si>
  <si>
    <t>HR</t>
  </si>
  <si>
    <t>Other</t>
  </si>
  <si>
    <t>26-35</t>
  </si>
  <si>
    <t>Bachelor</t>
  </si>
  <si>
    <t>Consultant</t>
  </si>
  <si>
    <t>IT</t>
  </si>
  <si>
    <t>Female</t>
  </si>
  <si>
    <t>36-45</t>
  </si>
  <si>
    <t>High School</t>
  </si>
  <si>
    <t>Engineer</t>
  </si>
  <si>
    <t>Marketing</t>
  </si>
  <si>
    <t>46-55</t>
  </si>
  <si>
    <t>Master</t>
  </si>
  <si>
    <t>Executive</t>
  </si>
  <si>
    <t>Operations</t>
  </si>
  <si>
    <t>56+</t>
  </si>
  <si>
    <t>Manager</t>
  </si>
  <si>
    <t>Sales</t>
  </si>
  <si>
    <t>⭐  PERFORMANCE METRICS ANALYSIS</t>
  </si>
  <si>
    <t>Performance Ratings  |  Manager Ratings  |  Projects Handled  |  Training Hours</t>
  </si>
  <si>
    <t>Avg Performance
Rating</t>
  </si>
  <si>
    <t>Avg Manager
Rating</t>
  </si>
  <si>
    <t>Avg Projects
Handled</t>
  </si>
  <si>
    <t>Avg Training
Hours</t>
  </si>
  <si>
    <t>Avg Sick
Leaves/Year</t>
  </si>
  <si>
    <t>3.01 / 5</t>
  </si>
  <si>
    <t>8.02</t>
  </si>
  <si>
    <t>9.99 days</t>
  </si>
  <si>
    <t>📊  Performance by Department</t>
  </si>
  <si>
    <t>Avg Perf Rating</t>
  </si>
  <si>
    <t>Avg Manager Rating</t>
  </si>
  <si>
    <t>Avg Projects</t>
  </si>
  <si>
    <t>Avg Training Hrs</t>
  </si>
  <si>
    <t>Avg Experience Yrs</t>
  </si>
  <si>
    <t>🎯  Performance by Job Role</t>
  </si>
  <si>
    <t>Job Role</t>
  </si>
  <si>
    <t>Avg Salary ($)</t>
  </si>
  <si>
    <t>$109,932</t>
  </si>
  <si>
    <t>$110,332</t>
  </si>
  <si>
    <t>$109,562</t>
  </si>
  <si>
    <t>$110,403</t>
  </si>
  <si>
    <t>$109,444</t>
  </si>
  <si>
    <t>👥  WORKFORCE OVERVIEW</t>
  </si>
  <si>
    <t>Demographics  |  Department Distribution  |  Education  |  Salary Analysis</t>
  </si>
  <si>
    <t>🏢  Department Summary</t>
  </si>
  <si>
    <t>% of Total</t>
  </si>
  <si>
    <t>Avg Experience</t>
  </si>
  <si>
    <t>Avg Performance</t>
  </si>
  <si>
    <t>Overtime %</t>
  </si>
  <si>
    <t>Avg Sick Leaves</t>
  </si>
  <si>
    <t>Avg Work Hrs</t>
  </si>
  <si>
    <t>16.6%</t>
  </si>
  <si>
    <t>$109,167</t>
  </si>
  <si>
    <t>50.0%</t>
  </si>
  <si>
    <t>16.5%</t>
  </si>
  <si>
    <t>$110,360</t>
  </si>
  <si>
    <t>16.9%</t>
  </si>
  <si>
    <t>$109,845</t>
  </si>
  <si>
    <t>16.7%</t>
  </si>
  <si>
    <t>$109,493</t>
  </si>
  <si>
    <t>16.4%</t>
  </si>
  <si>
    <t>$110,783</t>
  </si>
  <si>
    <t>16.8%</t>
  </si>
  <si>
    <t>$109,980</t>
  </si>
  <si>
    <t>🎓  Education Level</t>
  </si>
  <si>
    <t>25.1%</t>
  </si>
  <si>
    <t>25.0%</t>
  </si>
  <si>
    <t>⚥  Gender Distribution</t>
  </si>
  <si>
    <t>33.5%</t>
  </si>
  <si>
    <t>33.4%</t>
  </si>
  <si>
    <t>33.1%</t>
  </si>
  <si>
    <t>📅  Age Group Distribution</t>
  </si>
  <si>
    <t>Age Group</t>
  </si>
  <si>
    <t>14.7%</t>
  </si>
  <si>
    <t>24.3%</t>
  </si>
  <si>
    <t>24.4%</t>
  </si>
  <si>
    <t>12.2%</t>
  </si>
  <si>
    <t>⏰  Overtime Distribution</t>
  </si>
  <si>
    <t>Overtime</t>
  </si>
  <si>
    <t>No</t>
  </si>
  <si>
    <t>50.1%</t>
  </si>
  <si>
    <t>Yes</t>
  </si>
  <si>
    <t>49.9%</t>
  </si>
  <si>
    <t>📋  SUMMARY DATA TABLE  |  HR Analytics  |  100,000 Employees</t>
  </si>
  <si>
    <t>Metric</t>
  </si>
  <si>
    <t>Value</t>
  </si>
  <si>
    <t>Notes</t>
  </si>
  <si>
    <t>Total Employees</t>
  </si>
  <si>
    <t>Full workforce</t>
  </si>
  <si>
    <t>Avg Age</t>
  </si>
  <si>
    <t>40.0 years</t>
  </si>
  <si>
    <t>Avg Salary</t>
  </si>
  <si>
    <t>Annual</t>
  </si>
  <si>
    <t>Min Salary</t>
  </si>
  <si>
    <t>$20,002</t>
  </si>
  <si>
    <t>Max Salary</t>
  </si>
  <si>
    <t>$199,997</t>
  </si>
  <si>
    <t>Avg Performance Rating</t>
  </si>
  <si>
    <t>3.00 / 5</t>
  </si>
  <si>
    <t>Avg Work Hours/Week</t>
  </si>
  <si>
    <t>45.0 hrs</t>
  </si>
  <si>
    <t>Overtime Rate</t>
  </si>
  <si>
    <t>Avg Training Hours</t>
  </si>
  <si>
    <t>100.1 hrs</t>
  </si>
  <si>
    <t>10.0 days</t>
  </si>
  <si>
    <t>Avg Projects Handled</t>
  </si>
  <si>
    <t>8.0</t>
  </si>
  <si>
    <t>19.9 years</t>
  </si>
  <si>
    <t>Departments</t>
  </si>
  <si>
    <t>6</t>
  </si>
  <si>
    <t>Finance, HR, IT, Marketing, Operations, Sales</t>
  </si>
  <si>
    <t>Job Roles</t>
  </si>
  <si>
    <t>5</t>
  </si>
  <si>
    <t>Analyst, Consultant, Engineer, Executive, Manager</t>
  </si>
  <si>
    <t>Gender Groups</t>
  </si>
  <si>
    <t>3</t>
  </si>
  <si>
    <t>Male, Female, Other</t>
  </si>
  <si>
    <t>Education Levels</t>
  </si>
  <si>
    <t>4</t>
  </si>
  <si>
    <t>High School, Bachelor, Master, 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</si>
</sst>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1"/>
      <color rgb="FFFFFFFF"/>
      <name val="Arial"/>
    </font>
    <font>
      <b/>
      <sz val="10"/>
      <color rgb="FFFFFFFF"/>
      <name val="Arial"/>
    </font>
    <font>
      <b/>
      <sz val="18"/>
      <color rgb="FFFFFFFF"/>
      <name val="Arial"/>
    </font>
    <font>
      <sz val="10"/>
      <color rgb="FFFFFFFF"/>
      <name val="Arial"/>
    </font>
    <font>
      <b/>
      <sz val="15"/>
      <color rgb="FFFFFFFF"/>
      <name val="Arial"/>
    </font>
    <font>
      <b/>
      <sz val="12"/>
      <color rgb="FFFFFFFF"/>
      <name val="Arial"/>
    </font>
    <font>
      <sz val="10"/>
      <color rgb="FF1A1A2E"/>
      <name val="Arial"/>
    </font>
    <font>
      <b/>
      <sz val="16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A3"/>
      </patternFill>
    </fill>
    <fill>
      <patternFill patternType="solid">
        <fgColor rgb="FFF4A42A"/>
      </patternFill>
    </fill>
    <fill>
      <patternFill patternType="solid">
        <fgColor rgb="FF2DBD6E"/>
      </patternFill>
    </fill>
    <fill>
      <patternFill patternType="solid">
        <fgColor rgb="FF9B59B6"/>
      </patternFill>
    </fill>
    <fill>
      <patternFill patternType="solid">
        <fgColor rgb="FFE84545"/>
      </patternFill>
    </fill>
    <fill>
      <patternFill patternType="solid">
        <fgColor rgb="FFD6E4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9D60E6E-504B-4188-BD3E-558A42D017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Headcount by Department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0592112833498"/>
          <c:y val="0.21374045801526717"/>
          <c:w val="0.82939407887166505"/>
          <c:h val="0.5681928833323315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Headcount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ChartData!$A$2:$A$7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ChartData!$B$2:$B$7</c:f>
              <c:numCache>
                <c:formatCode>General</c:formatCode>
                <c:ptCount val="6"/>
                <c:pt idx="0">
                  <c:v>16640</c:v>
                </c:pt>
                <c:pt idx="1">
                  <c:v>16534</c:v>
                </c:pt>
                <c:pt idx="2">
                  <c:v>16853</c:v>
                </c:pt>
                <c:pt idx="3">
                  <c:v>16735</c:v>
                </c:pt>
                <c:pt idx="4">
                  <c:v>16446</c:v>
                </c:pt>
                <c:pt idx="5">
                  <c:v>16792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D-4AF9-8AF7-3E444957914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Employees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t"/>
      <c:layout>
        <c:manualLayout>
          <c:xMode val="edge"/>
          <c:yMode val="edge"/>
          <c:x val="0.14953595352819704"/>
          <c:y val="0.11450381679389313"/>
          <c:w val="0.69989103973943556"/>
          <c:h val="7.8257798882009982E-2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Gender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1468253968254E-2"/>
          <c:y val="0.14744893957220864"/>
          <c:w val="0.53943650793650799"/>
          <c:h val="0.82021299061755215"/>
        </c:manualLayout>
      </c:layout>
      <c:pieChart>
        <c:varyColors val="1"/>
        <c:ser>
          <c:idx val="0"/>
          <c:order val="0"/>
          <c:tx>
            <c:strRef>
              <c:f>ChartData!$E$1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ChartData!$D$2:$D$4</c:f>
              <c:strCache>
                <c:ptCount val="3"/>
                <c:pt idx="0">
                  <c:v>Male</c:v>
                </c:pt>
                <c:pt idx="1">
                  <c:v>Other</c:v>
                </c:pt>
                <c:pt idx="2">
                  <c:v>Female</c:v>
                </c:pt>
              </c:strCache>
            </c:strRef>
          </c:cat>
          <c:val>
            <c:numRef>
              <c:f>ChartData!$E$2:$E$4</c:f>
              <c:numCache>
                <c:formatCode>General</c:formatCode>
                <c:ptCount val="3"/>
                <c:pt idx="0">
                  <c:v>33470</c:v>
                </c:pt>
                <c:pt idx="1">
                  <c:v>33430</c:v>
                </c:pt>
                <c:pt idx="2">
                  <c:v>33100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B-4F7B-8728-B67C66068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Performance Rating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0676736111111114E-2"/>
          <c:y val="0.17024376591447887"/>
          <c:w val="0.90727569444444434"/>
          <c:h val="0.7512054540317316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ChartData!$H$1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trendline>
            <c:trendlineType val="linear"/>
            <c:dispRSqr val="0"/>
            <c:dispEq val="0"/>
          </c:trendline>
          <c:cat>
            <c:numRef>
              <c:f>ChartData!$G$2:$G$6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ChartData!$H$2:$H$6</c:f>
              <c:numCache>
                <c:formatCode>General</c:formatCode>
                <c:ptCount val="5"/>
                <c:pt idx="0">
                  <c:v>20195</c:v>
                </c:pt>
                <c:pt idx="1">
                  <c:v>19754</c:v>
                </c:pt>
                <c:pt idx="2">
                  <c:v>19989</c:v>
                </c:pt>
                <c:pt idx="3">
                  <c:v>19882</c:v>
                </c:pt>
                <c:pt idx="4">
                  <c:v>20180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E-4DE3-A0D3-C0C2CBD40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9020034722222221"/>
          <c:y val="0.12561028208201203"/>
          <c:w val="0.34870937500000004"/>
          <c:h val="7.0015475458776011E-2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Age Group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269464285714287"/>
          <c:y val="0.1456861317464184"/>
          <c:w val="0.68499841269841266"/>
          <c:h val="0.7310515245760155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ChartData!$K$1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ChartData!$J$2:$J$6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ChartData!$K$2:$K$6</c:f>
              <c:numCache>
                <c:formatCode>General</c:formatCode>
                <c:ptCount val="5"/>
                <c:pt idx="0">
                  <c:v>14708</c:v>
                </c:pt>
                <c:pt idx="1">
                  <c:v>24299</c:v>
                </c:pt>
                <c:pt idx="2">
                  <c:v>24347</c:v>
                </c:pt>
                <c:pt idx="3">
                  <c:v>24436</c:v>
                </c:pt>
                <c:pt idx="4">
                  <c:v>12210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B-48F4-98DB-274BCAD7D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238541666666669"/>
          <c:y val="0.21628675257152002"/>
          <c:w val="0.80113315972222221"/>
          <c:h val="0.6971525902832045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ChartData!$Q$1</c:f>
              <c:strCache>
                <c:ptCount val="1"/>
                <c:pt idx="0">
                  <c:v>Avg_Salary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ChartData!$P$2:$P$7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ChartData!$Q$2:$Q$7</c:f>
              <c:numCache>
                <c:formatCode>General</c:formatCode>
                <c:ptCount val="6"/>
                <c:pt idx="0">
                  <c:v>109167</c:v>
                </c:pt>
                <c:pt idx="1">
                  <c:v>110360</c:v>
                </c:pt>
                <c:pt idx="2">
                  <c:v>109845</c:v>
                </c:pt>
                <c:pt idx="3">
                  <c:v>109493</c:v>
                </c:pt>
                <c:pt idx="4">
                  <c:v>110783</c:v>
                </c:pt>
                <c:pt idx="5">
                  <c:v>109980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6-4E11-8360-555F2532E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Education Level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864134169719822"/>
          <c:y val="0.11981753515484229"/>
          <c:w val="0.46406404513092947"/>
          <c:h val="0.82928254830899728"/>
        </c:manualLayout>
      </c:layout>
      <c:pieChart>
        <c:varyColors val="1"/>
        <c:ser>
          <c:idx val="0"/>
          <c:order val="0"/>
          <c:tx>
            <c:strRef>
              <c:f>ChartData!$N$1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ChartData!$M$2:$M$5</c:f>
              <c:strCache>
                <c:ptCount val="4"/>
                <c:pt idx="0">
                  <c:v>PhD</c:v>
                </c:pt>
                <c:pt idx="1">
                  <c:v>Bachelor</c:v>
                </c:pt>
                <c:pt idx="2">
                  <c:v>High School</c:v>
                </c:pt>
                <c:pt idx="3">
                  <c:v>Master</c:v>
                </c:pt>
              </c:strCache>
            </c:strRef>
          </c:cat>
          <c:val>
            <c:numRef>
              <c:f>ChartData!$N$2:$N$5</c:f>
              <c:numCache>
                <c:formatCode>General</c:formatCode>
                <c:ptCount val="4"/>
                <c:pt idx="0">
                  <c:v>25077</c:v>
                </c:pt>
                <c:pt idx="1">
                  <c:v>24994</c:v>
                </c:pt>
                <c:pt idx="2">
                  <c:v>24973</c:v>
                </c:pt>
                <c:pt idx="3">
                  <c:v>24956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F-459A-A24C-D42FCE099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7563340614304113"/>
          <c:y val="0.35932168179469631"/>
          <c:w val="0.18194938507351774"/>
          <c:h val="0.43405605203013514"/>
        </c:manualLayout>
      </c:layout>
      <c:overlay val="1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Performance Rating by Job Role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ChartData!$T$1</c:f>
              <c:strCache>
                <c:ptCount val="1"/>
                <c:pt idx="0">
                  <c:v>Avg_Perf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ChartData!$S$2:$S$6</c:f>
              <c:strCache>
                <c:ptCount val="5"/>
                <c:pt idx="0">
                  <c:v>Analyst</c:v>
                </c:pt>
                <c:pt idx="1">
                  <c:v>Consultant</c:v>
                </c:pt>
                <c:pt idx="2">
                  <c:v>Engineer</c:v>
                </c:pt>
                <c:pt idx="3">
                  <c:v>Executive</c:v>
                </c:pt>
                <c:pt idx="4">
                  <c:v>Manager</c:v>
                </c:pt>
              </c:strCache>
            </c:strRef>
          </c:cat>
          <c:val>
            <c:numRef>
              <c:f>ChartData!$T$2:$T$6</c:f>
              <c:numCache>
                <c:formatCode>General</c:formatCode>
                <c:ptCount val="5"/>
                <c:pt idx="0">
                  <c:v>3</c:v>
                </c:pt>
                <c:pt idx="1">
                  <c:v>2.99</c:v>
                </c:pt>
                <c:pt idx="2">
                  <c:v>3</c:v>
                </c:pt>
                <c:pt idx="3">
                  <c:v>3.02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D-421C-B36A-41B511E57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Avg Training Hours by Department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5065451388888894E-2"/>
          <c:y val="0.16508768410318136"/>
          <c:w val="0.74032118055555551"/>
          <c:h val="0.701941755688182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ChartData!$W$1</c:f>
              <c:strCache>
                <c:ptCount val="1"/>
                <c:pt idx="0">
                  <c:v>Avg_Training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ChartData!$V$2:$V$7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ChartData!$W$2:$W$7</c:f>
              <c:numCache>
                <c:formatCode>General</c:formatCode>
                <c:ptCount val="6"/>
                <c:pt idx="0">
                  <c:v>99.84</c:v>
                </c:pt>
                <c:pt idx="1">
                  <c:v>100.14</c:v>
                </c:pt>
                <c:pt idx="2">
                  <c:v>99.86</c:v>
                </c:pt>
                <c:pt idx="3">
                  <c:v>100.45</c:v>
                </c:pt>
                <c:pt idx="4">
                  <c:v>99.87</c:v>
                </c:pt>
                <c:pt idx="5">
                  <c:v>100.17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E-489C-8680-8E454398A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Headcount by Department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518444235351083"/>
          <c:y val="0.18433994633352396"/>
          <c:w val="0.67124962962962964"/>
          <c:h val="0.7015525207229242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Headcount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ChartData!$A$2:$A$7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ChartData!$B$2:$B$7</c:f>
              <c:numCache>
                <c:formatCode>General</c:formatCode>
                <c:ptCount val="6"/>
                <c:pt idx="0">
                  <c:v>16640</c:v>
                </c:pt>
                <c:pt idx="1">
                  <c:v>16534</c:v>
                </c:pt>
                <c:pt idx="2">
                  <c:v>16853</c:v>
                </c:pt>
                <c:pt idx="3">
                  <c:v>16735</c:v>
                </c:pt>
                <c:pt idx="4">
                  <c:v>16446</c:v>
                </c:pt>
                <c:pt idx="5">
                  <c:v>16792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1-4CC6-815C-154A83DDC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02196797397674"/>
          <c:y val="0.26355143805504422"/>
          <c:w val="0.13059090884079741"/>
          <c:h val="0.5727246733823077"/>
        </c:manualLayout>
      </c:layout>
      <c:overlay val="0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Education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484332976896408"/>
          <c:y val="0.17568259451161009"/>
          <c:w val="0.53939211302290913"/>
          <c:h val="0.63888620226444048"/>
        </c:manualLayout>
      </c:layout>
      <c:pieChart>
        <c:varyColors val="1"/>
        <c:ser>
          <c:idx val="0"/>
          <c:order val="0"/>
          <c:tx>
            <c:strRef>
              <c:f>ChartData!$N$1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ChartData!$M$2:$M$5</c:f>
              <c:strCache>
                <c:ptCount val="4"/>
                <c:pt idx="0">
                  <c:v>PhD</c:v>
                </c:pt>
                <c:pt idx="1">
                  <c:v>Bachelor</c:v>
                </c:pt>
                <c:pt idx="2">
                  <c:v>High School</c:v>
                </c:pt>
                <c:pt idx="3">
                  <c:v>Master</c:v>
                </c:pt>
              </c:strCache>
            </c:strRef>
          </c:cat>
          <c:val>
            <c:numRef>
              <c:f>ChartData!$N$2:$N$5</c:f>
              <c:numCache>
                <c:formatCode>General</c:formatCode>
                <c:ptCount val="4"/>
                <c:pt idx="0">
                  <c:v>25077</c:v>
                </c:pt>
                <c:pt idx="1">
                  <c:v>24994</c:v>
                </c:pt>
                <c:pt idx="2">
                  <c:v>24973</c:v>
                </c:pt>
                <c:pt idx="3">
                  <c:v>24956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5-47A8-B5C5-FDB84E247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txPr>
    <a:bodyPr/>
    <a:lstStyle/>
    <a:p>
      <a:pPr>
        <a:defRPr sz="12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127000</xdr:colOff>
      <xdr:row>9</xdr:row>
      <xdr:rowOff>0</xdr:rowOff>
    </xdr:from>
    <xdr:ext cx="5956300" cy="3327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88900</xdr:colOff>
      <xdr:row>9</xdr:row>
      <xdr:rowOff>12700</xdr:rowOff>
    </xdr:from>
    <xdr:ext cx="4457700" cy="3314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559486</xdr:colOff>
      <xdr:row>9</xdr:row>
      <xdr:rowOff>34668</xdr:rowOff>
    </xdr:from>
    <xdr:ext cx="5760000" cy="3280032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114300</xdr:colOff>
      <xdr:row>28</xdr:row>
      <xdr:rowOff>20594</xdr:rowOff>
    </xdr:from>
    <xdr:ext cx="5040000" cy="296390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512462</xdr:colOff>
      <xdr:row>28</xdr:row>
      <xdr:rowOff>55263</xdr:rowOff>
    </xdr:from>
    <xdr:ext cx="5760000" cy="2941937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16</xdr:col>
      <xdr:colOff>250222</xdr:colOff>
      <xdr:row>28</xdr:row>
      <xdr:rowOff>41189</xdr:rowOff>
    </xdr:from>
    <xdr:ext cx="5350477" cy="2994111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205740</xdr:colOff>
      <xdr:row>10</xdr:row>
      <xdr:rowOff>121919</xdr:rowOff>
    </xdr:from>
    <xdr:ext cx="5573958" cy="38749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632605</xdr:colOff>
      <xdr:row>10</xdr:row>
      <xdr:rowOff>115019</xdr:rowOff>
    </xdr:from>
    <xdr:ext cx="6412302" cy="383875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694211</xdr:colOff>
      <xdr:row>12</xdr:row>
      <xdr:rowOff>147888</xdr:rowOff>
    </xdr:from>
    <xdr:ext cx="6698615" cy="284099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464877</xdr:colOff>
      <xdr:row>12</xdr:row>
      <xdr:rowOff>179011</xdr:rowOff>
    </xdr:from>
    <xdr:ext cx="4742815" cy="28117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showGridLines="0" topLeftCell="A10" zoomScale="60" workbookViewId="0">
      <selection activeCell="P52" sqref="P52"/>
    </sheetView>
  </sheetViews>
  <sheetFormatPr defaultRowHeight="14.4" x14ac:dyDescent="0.3"/>
  <cols>
    <col min="1" max="29" width="10" customWidth="1"/>
  </cols>
  <sheetData>
    <row r="1" spans="1:26" ht="49.95" customHeight="1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2.05" customHeight="1" x14ac:dyDescent="0.3">
      <c r="A2" s="17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4" spans="1:26" ht="30" customHeight="1" x14ac:dyDescent="0.3">
      <c r="A4" s="12" t="s">
        <v>2</v>
      </c>
      <c r="B4" s="9"/>
      <c r="C4" s="9"/>
      <c r="D4" s="9"/>
      <c r="F4" s="13" t="s">
        <v>3</v>
      </c>
      <c r="G4" s="9"/>
      <c r="H4" s="9"/>
      <c r="I4" s="9"/>
      <c r="K4" s="15" t="s">
        <v>4</v>
      </c>
      <c r="L4" s="9"/>
      <c r="M4" s="9"/>
      <c r="N4" s="9"/>
      <c r="P4" s="18" t="s">
        <v>5</v>
      </c>
      <c r="Q4" s="9"/>
      <c r="R4" s="9"/>
      <c r="S4" s="9"/>
      <c r="U4" s="16" t="s">
        <v>6</v>
      </c>
      <c r="V4" s="9"/>
      <c r="W4" s="9"/>
      <c r="X4" s="9"/>
    </row>
    <row r="5" spans="1:26" x14ac:dyDescent="0.3">
      <c r="A5" s="9"/>
      <c r="B5" s="9"/>
      <c r="C5" s="9"/>
      <c r="D5" s="9"/>
      <c r="F5" s="9"/>
      <c r="G5" s="9"/>
      <c r="H5" s="9"/>
      <c r="I5" s="9"/>
      <c r="K5" s="9"/>
      <c r="L5" s="9"/>
      <c r="M5" s="9"/>
      <c r="N5" s="9"/>
      <c r="P5" s="9"/>
      <c r="Q5" s="9"/>
      <c r="R5" s="9"/>
      <c r="S5" s="9"/>
      <c r="U5" s="9"/>
      <c r="V5" s="9"/>
      <c r="W5" s="9"/>
      <c r="X5" s="9"/>
    </row>
    <row r="6" spans="1:26" ht="28.05" customHeight="1" x14ac:dyDescent="0.3">
      <c r="A6" s="20" t="s">
        <v>7</v>
      </c>
      <c r="B6" s="9"/>
      <c r="C6" s="9"/>
      <c r="D6" s="9"/>
      <c r="F6" s="8" t="s">
        <v>8</v>
      </c>
      <c r="G6" s="9"/>
      <c r="H6" s="9"/>
      <c r="I6" s="9"/>
      <c r="K6" s="11" t="s">
        <v>9</v>
      </c>
      <c r="L6" s="9"/>
      <c r="M6" s="9"/>
      <c r="N6" s="9"/>
      <c r="P6" s="19" t="s">
        <v>10</v>
      </c>
      <c r="Q6" s="9"/>
      <c r="R6" s="9"/>
      <c r="S6" s="9"/>
      <c r="U6" s="14" t="s">
        <v>11</v>
      </c>
      <c r="V6" s="9"/>
      <c r="W6" s="9"/>
      <c r="X6" s="9"/>
    </row>
    <row r="7" spans="1:26" ht="28.05" customHeight="1" x14ac:dyDescent="0.3">
      <c r="A7" s="9"/>
      <c r="B7" s="9"/>
      <c r="C7" s="9"/>
      <c r="D7" s="9"/>
      <c r="F7" s="9"/>
      <c r="G7" s="9"/>
      <c r="H7" s="9"/>
      <c r="I7" s="9"/>
      <c r="K7" s="9"/>
      <c r="L7" s="9"/>
      <c r="M7" s="9"/>
      <c r="N7" s="9"/>
      <c r="P7" s="9"/>
      <c r="Q7" s="9"/>
      <c r="R7" s="9"/>
      <c r="S7" s="9"/>
      <c r="U7" s="9"/>
      <c r="V7" s="9"/>
      <c r="W7" s="9"/>
      <c r="X7" s="9"/>
    </row>
    <row r="8" spans="1:26" ht="28.05" customHeight="1" x14ac:dyDescent="0.3">
      <c r="A8" s="9"/>
      <c r="B8" s="9"/>
      <c r="C8" s="9"/>
      <c r="D8" s="9"/>
      <c r="F8" s="9"/>
      <c r="G8" s="9"/>
      <c r="H8" s="9"/>
      <c r="I8" s="9"/>
      <c r="K8" s="9"/>
      <c r="L8" s="9"/>
      <c r="M8" s="9"/>
      <c r="N8" s="9"/>
      <c r="P8" s="9"/>
      <c r="Q8" s="9"/>
      <c r="R8" s="9"/>
      <c r="S8" s="9"/>
      <c r="U8" s="9"/>
      <c r="V8" s="9"/>
      <c r="W8" s="9"/>
      <c r="X8" s="9"/>
    </row>
  </sheetData>
  <mergeCells count="12">
    <mergeCell ref="F6:I8"/>
    <mergeCell ref="A1:Z1"/>
    <mergeCell ref="K6:N8"/>
    <mergeCell ref="A4:D5"/>
    <mergeCell ref="F4:I5"/>
    <mergeCell ref="U6:X8"/>
    <mergeCell ref="K4:N5"/>
    <mergeCell ref="U4:X5"/>
    <mergeCell ref="A2:Z2"/>
    <mergeCell ref="P4:S5"/>
    <mergeCell ref="P6:S8"/>
    <mergeCell ref="A6:D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"/>
  <sheetViews>
    <sheetView workbookViewId="0"/>
  </sheetViews>
  <sheetFormatPr defaultRowHeight="14.4" x14ac:dyDescent="0.3"/>
  <sheetData>
    <row r="1" spans="1:23" x14ac:dyDescent="0.3">
      <c r="A1" t="s">
        <v>12</v>
      </c>
      <c r="B1" t="s">
        <v>13</v>
      </c>
      <c r="D1" t="s">
        <v>14</v>
      </c>
      <c r="E1" t="s">
        <v>15</v>
      </c>
      <c r="G1" t="s">
        <v>16</v>
      </c>
      <c r="H1" t="s">
        <v>15</v>
      </c>
      <c r="J1" t="s">
        <v>17</v>
      </c>
      <c r="K1" t="s">
        <v>15</v>
      </c>
      <c r="M1" t="s">
        <v>18</v>
      </c>
      <c r="N1" t="s">
        <v>15</v>
      </c>
      <c r="P1" t="s">
        <v>12</v>
      </c>
      <c r="Q1" t="s">
        <v>19</v>
      </c>
      <c r="S1" t="s">
        <v>20</v>
      </c>
      <c r="T1" t="s">
        <v>21</v>
      </c>
      <c r="V1" t="s">
        <v>12</v>
      </c>
      <c r="W1" t="s">
        <v>22</v>
      </c>
    </row>
    <row r="2" spans="1:23" x14ac:dyDescent="0.3">
      <c r="A2" t="s">
        <v>23</v>
      </c>
      <c r="B2">
        <v>16640</v>
      </c>
      <c r="D2" t="s">
        <v>24</v>
      </c>
      <c r="E2">
        <v>33470</v>
      </c>
      <c r="G2">
        <v>1</v>
      </c>
      <c r="H2">
        <v>20195</v>
      </c>
      <c r="J2" t="s">
        <v>25</v>
      </c>
      <c r="K2">
        <v>14708</v>
      </c>
      <c r="M2" t="s">
        <v>26</v>
      </c>
      <c r="N2">
        <v>25077</v>
      </c>
      <c r="P2" t="s">
        <v>23</v>
      </c>
      <c r="Q2">
        <v>109167</v>
      </c>
      <c r="S2" t="s">
        <v>27</v>
      </c>
      <c r="T2">
        <v>3</v>
      </c>
      <c r="V2" t="s">
        <v>23</v>
      </c>
      <c r="W2">
        <v>99.84</v>
      </c>
    </row>
    <row r="3" spans="1:23" x14ac:dyDescent="0.3">
      <c r="A3" t="s">
        <v>28</v>
      </c>
      <c r="B3">
        <v>16534</v>
      </c>
      <c r="D3" t="s">
        <v>29</v>
      </c>
      <c r="E3">
        <v>33430</v>
      </c>
      <c r="G3">
        <v>2</v>
      </c>
      <c r="H3">
        <v>19754</v>
      </c>
      <c r="J3" t="s">
        <v>30</v>
      </c>
      <c r="K3">
        <v>24299</v>
      </c>
      <c r="M3" t="s">
        <v>31</v>
      </c>
      <c r="N3">
        <v>24994</v>
      </c>
      <c r="P3" t="s">
        <v>28</v>
      </c>
      <c r="Q3">
        <v>110360</v>
      </c>
      <c r="S3" t="s">
        <v>32</v>
      </c>
      <c r="T3">
        <v>2.99</v>
      </c>
      <c r="V3" t="s">
        <v>28</v>
      </c>
      <c r="W3">
        <v>100.14</v>
      </c>
    </row>
    <row r="4" spans="1:23" x14ac:dyDescent="0.3">
      <c r="A4" t="s">
        <v>33</v>
      </c>
      <c r="B4">
        <v>16853</v>
      </c>
      <c r="D4" t="s">
        <v>34</v>
      </c>
      <c r="E4">
        <v>33100</v>
      </c>
      <c r="G4">
        <v>3</v>
      </c>
      <c r="H4">
        <v>19989</v>
      </c>
      <c r="J4" t="s">
        <v>35</v>
      </c>
      <c r="K4">
        <v>24347</v>
      </c>
      <c r="M4" t="s">
        <v>36</v>
      </c>
      <c r="N4">
        <v>24973</v>
      </c>
      <c r="P4" t="s">
        <v>33</v>
      </c>
      <c r="Q4">
        <v>109845</v>
      </c>
      <c r="S4" t="s">
        <v>37</v>
      </c>
      <c r="T4">
        <v>3</v>
      </c>
      <c r="V4" t="s">
        <v>33</v>
      </c>
      <c r="W4">
        <v>99.86</v>
      </c>
    </row>
    <row r="5" spans="1:23" x14ac:dyDescent="0.3">
      <c r="A5" t="s">
        <v>38</v>
      </c>
      <c r="B5">
        <v>16735</v>
      </c>
      <c r="G5">
        <v>4</v>
      </c>
      <c r="H5">
        <v>19882</v>
      </c>
      <c r="J5" t="s">
        <v>39</v>
      </c>
      <c r="K5">
        <v>24436</v>
      </c>
      <c r="M5" t="s">
        <v>40</v>
      </c>
      <c r="N5">
        <v>24956</v>
      </c>
      <c r="P5" t="s">
        <v>38</v>
      </c>
      <c r="Q5">
        <v>109493</v>
      </c>
      <c r="S5" t="s">
        <v>41</v>
      </c>
      <c r="T5">
        <v>3.02</v>
      </c>
      <c r="V5" t="s">
        <v>38</v>
      </c>
      <c r="W5">
        <v>100.45</v>
      </c>
    </row>
    <row r="6" spans="1:23" x14ac:dyDescent="0.3">
      <c r="A6" t="s">
        <v>42</v>
      </c>
      <c r="B6">
        <v>16446</v>
      </c>
      <c r="G6">
        <v>5</v>
      </c>
      <c r="H6">
        <v>20180</v>
      </c>
      <c r="J6" t="s">
        <v>43</v>
      </c>
      <c r="K6">
        <v>12210</v>
      </c>
      <c r="P6" t="s">
        <v>42</v>
      </c>
      <c r="Q6">
        <v>110783</v>
      </c>
      <c r="S6" t="s">
        <v>44</v>
      </c>
      <c r="T6">
        <v>3</v>
      </c>
      <c r="V6" t="s">
        <v>42</v>
      </c>
      <c r="W6">
        <v>99.87</v>
      </c>
    </row>
    <row r="7" spans="1:23" x14ac:dyDescent="0.3">
      <c r="A7" t="s">
        <v>45</v>
      </c>
      <c r="B7">
        <v>16792</v>
      </c>
      <c r="P7" t="s">
        <v>45</v>
      </c>
      <c r="Q7">
        <v>109980</v>
      </c>
      <c r="V7" t="s">
        <v>45</v>
      </c>
      <c r="W7">
        <v>100.17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5"/>
  <sheetViews>
    <sheetView showGridLines="0" zoomScale="67" workbookViewId="0">
      <selection activeCell="V23" sqref="V23"/>
    </sheetView>
  </sheetViews>
  <sheetFormatPr defaultRowHeight="14.4" x14ac:dyDescent="0.3"/>
  <cols>
    <col min="1" max="24" width="13" customWidth="1"/>
  </cols>
  <sheetData>
    <row r="1" spans="1:24" ht="45" customHeight="1" x14ac:dyDescent="0.3">
      <c r="A1" s="20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9.95" customHeight="1" x14ac:dyDescent="0.3">
      <c r="A2" s="24" t="s">
        <v>47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4" spans="1:24" x14ac:dyDescent="0.3">
      <c r="A4" s="15" t="s">
        <v>48</v>
      </c>
      <c r="B4" s="9"/>
      <c r="C4" s="9"/>
      <c r="E4" s="13" t="s">
        <v>49</v>
      </c>
      <c r="F4" s="9"/>
      <c r="G4" s="9"/>
      <c r="I4" s="18" t="s">
        <v>50</v>
      </c>
      <c r="J4" s="9"/>
      <c r="K4" s="9"/>
      <c r="M4" s="12" t="s">
        <v>51</v>
      </c>
      <c r="N4" s="9"/>
      <c r="O4" s="9"/>
      <c r="Q4" s="27" t="s">
        <v>52</v>
      </c>
      <c r="R4" s="9"/>
      <c r="S4" s="9"/>
    </row>
    <row r="5" spans="1:24" x14ac:dyDescent="0.3">
      <c r="A5" s="9"/>
      <c r="B5" s="9"/>
      <c r="C5" s="9"/>
      <c r="E5" s="9"/>
      <c r="F5" s="9"/>
      <c r="G5" s="9"/>
      <c r="I5" s="9"/>
      <c r="J5" s="9"/>
      <c r="K5" s="9"/>
      <c r="M5" s="9"/>
      <c r="N5" s="9"/>
      <c r="O5" s="9"/>
      <c r="Q5" s="9"/>
      <c r="R5" s="9"/>
      <c r="S5" s="9"/>
    </row>
    <row r="6" spans="1:24" x14ac:dyDescent="0.3">
      <c r="A6" s="21" t="s">
        <v>9</v>
      </c>
      <c r="B6" s="9"/>
      <c r="C6" s="9"/>
      <c r="E6" s="23" t="s">
        <v>53</v>
      </c>
      <c r="F6" s="9"/>
      <c r="G6" s="9"/>
      <c r="I6" s="25" t="s">
        <v>54</v>
      </c>
      <c r="J6" s="9"/>
      <c r="K6" s="9"/>
      <c r="M6" s="26" t="s">
        <v>11</v>
      </c>
      <c r="N6" s="9"/>
      <c r="O6" s="9"/>
      <c r="Q6" s="28" t="s">
        <v>55</v>
      </c>
      <c r="R6" s="9"/>
      <c r="S6" s="9"/>
    </row>
    <row r="7" spans="1:24" x14ac:dyDescent="0.3">
      <c r="A7" s="9"/>
      <c r="B7" s="9"/>
      <c r="C7" s="9"/>
      <c r="E7" s="9"/>
      <c r="F7" s="9"/>
      <c r="G7" s="9"/>
      <c r="I7" s="9"/>
      <c r="J7" s="9"/>
      <c r="K7" s="9"/>
      <c r="M7" s="9"/>
      <c r="N7" s="9"/>
      <c r="O7" s="9"/>
      <c r="Q7" s="9"/>
      <c r="R7" s="9"/>
      <c r="S7" s="9"/>
    </row>
    <row r="8" spans="1:24" x14ac:dyDescent="0.3">
      <c r="A8" s="9"/>
      <c r="B8" s="9"/>
      <c r="C8" s="9"/>
      <c r="E8" s="9"/>
      <c r="F8" s="9"/>
      <c r="G8" s="9"/>
      <c r="I8" s="9"/>
      <c r="J8" s="9"/>
      <c r="K8" s="9"/>
      <c r="M8" s="9"/>
      <c r="N8" s="9"/>
      <c r="O8" s="9"/>
      <c r="Q8" s="9"/>
      <c r="R8" s="9"/>
      <c r="S8" s="9"/>
    </row>
    <row r="10" spans="1:24" ht="28.05" customHeight="1" x14ac:dyDescent="0.3">
      <c r="A10" s="22" t="s">
        <v>56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24" ht="25.05" customHeight="1" x14ac:dyDescent="0.3">
      <c r="A11" s="1" t="s">
        <v>12</v>
      </c>
      <c r="B11" s="1" t="s">
        <v>13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61</v>
      </c>
    </row>
    <row r="12" spans="1:24" ht="22.05" customHeight="1" x14ac:dyDescent="0.3">
      <c r="A12" s="2" t="s">
        <v>23</v>
      </c>
      <c r="B12" s="2">
        <v>16640</v>
      </c>
      <c r="C12" s="2">
        <v>2.99</v>
      </c>
      <c r="D12" s="2">
        <v>3.02</v>
      </c>
      <c r="E12" s="2">
        <v>8.01</v>
      </c>
      <c r="F12" s="2">
        <v>99.84</v>
      </c>
      <c r="G12" s="2">
        <v>20.02</v>
      </c>
    </row>
    <row r="13" spans="1:24" ht="22.05" customHeight="1" x14ac:dyDescent="0.3">
      <c r="A13" s="3" t="s">
        <v>28</v>
      </c>
      <c r="B13" s="3">
        <v>16534</v>
      </c>
      <c r="C13" s="3">
        <v>3</v>
      </c>
      <c r="D13" s="3">
        <v>3</v>
      </c>
      <c r="E13" s="3">
        <v>8.01</v>
      </c>
      <c r="F13" s="3">
        <v>100.14</v>
      </c>
      <c r="G13" s="3">
        <v>19.93</v>
      </c>
    </row>
    <row r="14" spans="1:24" ht="22.05" customHeight="1" x14ac:dyDescent="0.3">
      <c r="A14" s="2" t="s">
        <v>33</v>
      </c>
      <c r="B14" s="2">
        <v>16853</v>
      </c>
      <c r="C14" s="2">
        <v>3.02</v>
      </c>
      <c r="D14" s="2">
        <v>3.01</v>
      </c>
      <c r="E14" s="2">
        <v>7.99</v>
      </c>
      <c r="F14" s="2">
        <v>99.86</v>
      </c>
      <c r="G14" s="2">
        <v>20.03</v>
      </c>
    </row>
    <row r="15" spans="1:24" ht="22.05" customHeight="1" x14ac:dyDescent="0.3">
      <c r="A15" s="3" t="s">
        <v>38</v>
      </c>
      <c r="B15" s="3">
        <v>16735</v>
      </c>
      <c r="C15" s="3">
        <v>2.99</v>
      </c>
      <c r="D15" s="3">
        <v>3</v>
      </c>
      <c r="E15" s="3">
        <v>8.0500000000000007</v>
      </c>
      <c r="F15" s="3">
        <v>100.45</v>
      </c>
      <c r="G15" s="3">
        <v>19.86</v>
      </c>
    </row>
    <row r="16" spans="1:24" ht="22.05" customHeight="1" x14ac:dyDescent="0.3">
      <c r="A16" s="2" t="s">
        <v>42</v>
      </c>
      <c r="B16" s="2">
        <v>16446</v>
      </c>
      <c r="C16" s="2">
        <v>3.01</v>
      </c>
      <c r="D16" s="2">
        <v>3.02</v>
      </c>
      <c r="E16" s="2">
        <v>8.0399999999999991</v>
      </c>
      <c r="F16" s="2">
        <v>99.87</v>
      </c>
      <c r="G16" s="2">
        <v>19.79</v>
      </c>
    </row>
    <row r="17" spans="1:7" ht="22.05" customHeight="1" x14ac:dyDescent="0.3">
      <c r="A17" s="3" t="s">
        <v>45</v>
      </c>
      <c r="B17" s="3">
        <v>16792</v>
      </c>
      <c r="C17" s="3">
        <v>2.99</v>
      </c>
      <c r="D17" s="3">
        <v>3.01</v>
      </c>
      <c r="E17" s="3">
        <v>8.01</v>
      </c>
      <c r="F17" s="3">
        <v>100.17</v>
      </c>
      <c r="G17" s="3">
        <v>19.96</v>
      </c>
    </row>
    <row r="19" spans="1:7" ht="28.05" customHeight="1" x14ac:dyDescent="0.3">
      <c r="A19" s="22" t="s">
        <v>62</v>
      </c>
      <c r="B19" s="9"/>
      <c r="C19" s="9"/>
      <c r="D19" s="9"/>
      <c r="E19" s="9"/>
      <c r="F19" s="9"/>
      <c r="G19" s="9"/>
    </row>
    <row r="20" spans="1:7" ht="25.05" customHeight="1" x14ac:dyDescent="0.3">
      <c r="A20" s="1" t="s">
        <v>63</v>
      </c>
      <c r="B20" s="1" t="s">
        <v>13</v>
      </c>
      <c r="C20" s="1" t="s">
        <v>57</v>
      </c>
      <c r="D20" s="1" t="s">
        <v>58</v>
      </c>
      <c r="E20" s="1" t="s">
        <v>59</v>
      </c>
      <c r="F20" s="1" t="s">
        <v>60</v>
      </c>
      <c r="G20" s="1" t="s">
        <v>64</v>
      </c>
    </row>
    <row r="21" spans="1:7" ht="22.05" customHeight="1" x14ac:dyDescent="0.3">
      <c r="A21" s="2" t="s">
        <v>27</v>
      </c>
      <c r="B21" s="2">
        <v>20046</v>
      </c>
      <c r="C21" s="2">
        <v>3</v>
      </c>
      <c r="D21" s="2">
        <v>3.02</v>
      </c>
      <c r="E21" s="2">
        <v>8</v>
      </c>
      <c r="F21" s="2">
        <v>100.27</v>
      </c>
      <c r="G21" s="2" t="s">
        <v>65</v>
      </c>
    </row>
    <row r="22" spans="1:7" ht="22.05" customHeight="1" x14ac:dyDescent="0.3">
      <c r="A22" s="3" t="s">
        <v>32</v>
      </c>
      <c r="B22" s="3">
        <v>19910</v>
      </c>
      <c r="C22" s="3">
        <v>2.99</v>
      </c>
      <c r="D22" s="3">
        <v>2.99</v>
      </c>
      <c r="E22" s="3">
        <v>8.01</v>
      </c>
      <c r="F22" s="3">
        <v>100.16</v>
      </c>
      <c r="G22" s="3" t="s">
        <v>66</v>
      </c>
    </row>
    <row r="23" spans="1:7" ht="22.05" customHeight="1" x14ac:dyDescent="0.3">
      <c r="A23" s="2" t="s">
        <v>37</v>
      </c>
      <c r="B23" s="2">
        <v>20003</v>
      </c>
      <c r="C23" s="2">
        <v>3</v>
      </c>
      <c r="D23" s="2">
        <v>3</v>
      </c>
      <c r="E23" s="2">
        <v>8.0500000000000007</v>
      </c>
      <c r="F23" s="2">
        <v>99.75</v>
      </c>
      <c r="G23" s="2" t="s">
        <v>67</v>
      </c>
    </row>
    <row r="24" spans="1:7" ht="22.05" customHeight="1" x14ac:dyDescent="0.3">
      <c r="A24" s="3" t="s">
        <v>41</v>
      </c>
      <c r="B24" s="3">
        <v>20148</v>
      </c>
      <c r="C24" s="3">
        <v>3.02</v>
      </c>
      <c r="D24" s="3">
        <v>3.01</v>
      </c>
      <c r="E24" s="3">
        <v>8.01</v>
      </c>
      <c r="F24" s="3">
        <v>99.53</v>
      </c>
      <c r="G24" s="3" t="s">
        <v>68</v>
      </c>
    </row>
    <row r="25" spans="1:7" ht="22.05" customHeight="1" x14ac:dyDescent="0.3">
      <c r="A25" s="2" t="s">
        <v>44</v>
      </c>
      <c r="B25" s="2">
        <v>19893</v>
      </c>
      <c r="C25" s="2">
        <v>3</v>
      </c>
      <c r="D25" s="2">
        <v>3.02</v>
      </c>
      <c r="E25" s="2">
        <v>8.02</v>
      </c>
      <c r="F25" s="2">
        <v>100.56</v>
      </c>
      <c r="G25" s="2" t="s">
        <v>69</v>
      </c>
    </row>
  </sheetData>
  <mergeCells count="14">
    <mergeCell ref="A1:X1"/>
    <mergeCell ref="E4:G5"/>
    <mergeCell ref="I4:K5"/>
    <mergeCell ref="A19:G19"/>
    <mergeCell ref="Q6:S8"/>
    <mergeCell ref="A6:C8"/>
    <mergeCell ref="A10:L10"/>
    <mergeCell ref="E6:G8"/>
    <mergeCell ref="A2:X2"/>
    <mergeCell ref="I6:K8"/>
    <mergeCell ref="M6:O8"/>
    <mergeCell ref="M4:O5"/>
    <mergeCell ref="Q4:S5"/>
    <mergeCell ref="A4:C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7"/>
  <sheetViews>
    <sheetView showGridLines="0" topLeftCell="B1" zoomScale="66" workbookViewId="0">
      <selection activeCell="F28" sqref="F28"/>
    </sheetView>
  </sheetViews>
  <sheetFormatPr defaultRowHeight="14.4" x14ac:dyDescent="0.3"/>
  <cols>
    <col min="1" max="24" width="13" customWidth="1"/>
  </cols>
  <sheetData>
    <row r="1" spans="1:25" ht="45" customHeight="1" x14ac:dyDescent="0.3">
      <c r="A1" s="20" t="s">
        <v>70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5" ht="19.95" customHeight="1" x14ac:dyDescent="0.3">
      <c r="A2" s="24" t="s">
        <v>71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4" spans="1:25" ht="28.05" customHeight="1" x14ac:dyDescent="0.3">
      <c r="A4" s="22" t="s">
        <v>72</v>
      </c>
      <c r="B4" s="9"/>
      <c r="C4" s="9"/>
      <c r="D4" s="9"/>
      <c r="E4" s="9"/>
      <c r="F4" s="9"/>
      <c r="G4" s="9"/>
      <c r="H4" s="9"/>
      <c r="I4" s="9"/>
      <c r="J4" s="9"/>
      <c r="L4" s="22" t="s">
        <v>99</v>
      </c>
      <c r="M4" s="9"/>
      <c r="N4" s="9"/>
      <c r="O4" s="9"/>
      <c r="Q4" s="22" t="s">
        <v>105</v>
      </c>
      <c r="R4" s="9"/>
      <c r="S4" s="9"/>
      <c r="T4" s="9"/>
      <c r="V4" s="22" t="s">
        <v>92</v>
      </c>
      <c r="W4" s="9"/>
      <c r="X4" s="9"/>
      <c r="Y4" s="9"/>
    </row>
    <row r="5" spans="1:25" ht="25.05" customHeight="1" x14ac:dyDescent="0.3">
      <c r="A5" s="4" t="s">
        <v>12</v>
      </c>
      <c r="B5" s="4" t="s">
        <v>13</v>
      </c>
      <c r="C5" s="4" t="s">
        <v>73</v>
      </c>
      <c r="D5" s="4" t="s">
        <v>64</v>
      </c>
      <c r="E5" s="4" t="s">
        <v>74</v>
      </c>
      <c r="F5" s="4" t="s">
        <v>75</v>
      </c>
      <c r="G5" s="4" t="s">
        <v>59</v>
      </c>
      <c r="H5" s="4" t="s">
        <v>76</v>
      </c>
      <c r="I5" s="4" t="s">
        <v>77</v>
      </c>
      <c r="J5" s="4" t="s">
        <v>78</v>
      </c>
      <c r="L5" s="1" t="s">
        <v>100</v>
      </c>
      <c r="M5" s="1" t="s">
        <v>15</v>
      </c>
      <c r="N5" s="1" t="s">
        <v>73</v>
      </c>
      <c r="Q5" s="1" t="s">
        <v>106</v>
      </c>
      <c r="R5" s="1" t="s">
        <v>15</v>
      </c>
      <c r="S5" s="1" t="s">
        <v>73</v>
      </c>
      <c r="V5" s="1" t="s">
        <v>18</v>
      </c>
      <c r="W5" s="1" t="s">
        <v>15</v>
      </c>
      <c r="X5" s="1" t="s">
        <v>73</v>
      </c>
    </row>
    <row r="6" spans="1:25" ht="22.05" customHeight="1" x14ac:dyDescent="0.3">
      <c r="A6" s="2" t="s">
        <v>23</v>
      </c>
      <c r="B6" s="2">
        <v>16640</v>
      </c>
      <c r="C6" s="2" t="s">
        <v>79</v>
      </c>
      <c r="D6" s="2" t="s">
        <v>80</v>
      </c>
      <c r="E6" s="2">
        <v>20.02</v>
      </c>
      <c r="F6" s="2">
        <v>2.99</v>
      </c>
      <c r="G6" s="2">
        <v>8.01</v>
      </c>
      <c r="H6" s="2" t="s">
        <v>81</v>
      </c>
      <c r="I6" s="2">
        <v>9.9700000000000006</v>
      </c>
      <c r="J6" s="2">
        <v>45.04</v>
      </c>
      <c r="L6" s="2" t="s">
        <v>25</v>
      </c>
      <c r="M6" s="2">
        <v>14708</v>
      </c>
      <c r="N6" s="2" t="s">
        <v>101</v>
      </c>
      <c r="Q6" s="2" t="s">
        <v>107</v>
      </c>
      <c r="R6" s="2">
        <v>50084</v>
      </c>
      <c r="S6" s="2" t="s">
        <v>108</v>
      </c>
      <c r="V6" s="2" t="s">
        <v>26</v>
      </c>
      <c r="W6" s="2">
        <v>25077</v>
      </c>
      <c r="X6" s="2" t="s">
        <v>93</v>
      </c>
    </row>
    <row r="7" spans="1:25" ht="22.05" customHeight="1" x14ac:dyDescent="0.3">
      <c r="A7" s="3" t="s">
        <v>28</v>
      </c>
      <c r="B7" s="3">
        <v>16534</v>
      </c>
      <c r="C7" s="3" t="s">
        <v>82</v>
      </c>
      <c r="D7" s="3" t="s">
        <v>83</v>
      </c>
      <c r="E7" s="3">
        <v>19.93</v>
      </c>
      <c r="F7" s="3">
        <v>3</v>
      </c>
      <c r="G7" s="3">
        <v>8.01</v>
      </c>
      <c r="H7" s="3" t="s">
        <v>81</v>
      </c>
      <c r="I7" s="3">
        <v>9.98</v>
      </c>
      <c r="J7" s="3">
        <v>44.87</v>
      </c>
      <c r="L7" s="3" t="s">
        <v>30</v>
      </c>
      <c r="M7" s="3">
        <v>24299</v>
      </c>
      <c r="N7" s="3" t="s">
        <v>102</v>
      </c>
      <c r="Q7" s="3" t="s">
        <v>109</v>
      </c>
      <c r="R7" s="3">
        <v>49916</v>
      </c>
      <c r="S7" s="3" t="s">
        <v>110</v>
      </c>
      <c r="V7" s="3" t="s">
        <v>31</v>
      </c>
      <c r="W7" s="3">
        <v>24994</v>
      </c>
      <c r="X7" s="3" t="s">
        <v>94</v>
      </c>
    </row>
    <row r="8" spans="1:25" ht="22.05" customHeight="1" x14ac:dyDescent="0.3">
      <c r="A8" s="2" t="s">
        <v>33</v>
      </c>
      <c r="B8" s="2">
        <v>16853</v>
      </c>
      <c r="C8" s="2" t="s">
        <v>84</v>
      </c>
      <c r="D8" s="2" t="s">
        <v>85</v>
      </c>
      <c r="E8" s="2">
        <v>20.03</v>
      </c>
      <c r="F8" s="2">
        <v>3.02</v>
      </c>
      <c r="G8" s="2">
        <v>7.99</v>
      </c>
      <c r="H8" s="2" t="s">
        <v>81</v>
      </c>
      <c r="I8" s="2">
        <v>10</v>
      </c>
      <c r="J8" s="2">
        <v>44.95</v>
      </c>
      <c r="L8" s="2" t="s">
        <v>35</v>
      </c>
      <c r="M8" s="2">
        <v>24347</v>
      </c>
      <c r="N8" s="2" t="s">
        <v>102</v>
      </c>
      <c r="V8" s="2" t="s">
        <v>36</v>
      </c>
      <c r="W8" s="2">
        <v>24973</v>
      </c>
      <c r="X8" s="2" t="s">
        <v>94</v>
      </c>
    </row>
    <row r="9" spans="1:25" ht="22.05" customHeight="1" x14ac:dyDescent="0.3">
      <c r="A9" s="3" t="s">
        <v>38</v>
      </c>
      <c r="B9" s="3">
        <v>16735</v>
      </c>
      <c r="C9" s="3" t="s">
        <v>86</v>
      </c>
      <c r="D9" s="3" t="s">
        <v>87</v>
      </c>
      <c r="E9" s="3">
        <v>19.86</v>
      </c>
      <c r="F9" s="3">
        <v>2.99</v>
      </c>
      <c r="G9" s="3">
        <v>8.0500000000000007</v>
      </c>
      <c r="H9" s="3" t="s">
        <v>81</v>
      </c>
      <c r="I9" s="3">
        <v>9.98</v>
      </c>
      <c r="J9" s="3">
        <v>44.96</v>
      </c>
      <c r="L9" s="3" t="s">
        <v>39</v>
      </c>
      <c r="M9" s="3">
        <v>24436</v>
      </c>
      <c r="N9" s="3" t="s">
        <v>103</v>
      </c>
      <c r="V9" s="3" t="s">
        <v>40</v>
      </c>
      <c r="W9" s="3">
        <v>24956</v>
      </c>
      <c r="X9" s="3" t="s">
        <v>94</v>
      </c>
    </row>
    <row r="10" spans="1:25" ht="22.05" customHeight="1" x14ac:dyDescent="0.3">
      <c r="A10" s="2" t="s">
        <v>42</v>
      </c>
      <c r="B10" s="2">
        <v>16446</v>
      </c>
      <c r="C10" s="2" t="s">
        <v>88</v>
      </c>
      <c r="D10" s="2" t="s">
        <v>89</v>
      </c>
      <c r="E10" s="2">
        <v>19.79</v>
      </c>
      <c r="F10" s="2">
        <v>3.01</v>
      </c>
      <c r="G10" s="2">
        <v>8.0399999999999991</v>
      </c>
      <c r="H10" s="2" t="s">
        <v>81</v>
      </c>
      <c r="I10" s="2">
        <v>9.9700000000000006</v>
      </c>
      <c r="J10" s="2">
        <v>45.06</v>
      </c>
      <c r="L10" s="2" t="s">
        <v>43</v>
      </c>
      <c r="M10" s="2">
        <v>12210</v>
      </c>
      <c r="N10" s="2" t="s">
        <v>104</v>
      </c>
    </row>
    <row r="11" spans="1:25" ht="22.05" customHeight="1" x14ac:dyDescent="0.3">
      <c r="A11" s="3" t="s">
        <v>45</v>
      </c>
      <c r="B11" s="3">
        <v>16792</v>
      </c>
      <c r="C11" s="3" t="s">
        <v>90</v>
      </c>
      <c r="D11" s="3" t="s">
        <v>91</v>
      </c>
      <c r="E11" s="3">
        <v>19.96</v>
      </c>
      <c r="F11" s="3">
        <v>2.99</v>
      </c>
      <c r="G11" s="3">
        <v>8.01</v>
      </c>
      <c r="H11" s="3" t="s">
        <v>81</v>
      </c>
      <c r="I11" s="3">
        <v>10.02</v>
      </c>
      <c r="J11" s="3">
        <v>45</v>
      </c>
    </row>
    <row r="13" spans="1:25" ht="28.05" customHeight="1" x14ac:dyDescent="0.3">
      <c r="B13" s="22" t="s">
        <v>95</v>
      </c>
      <c r="C13" s="9"/>
      <c r="D13" s="9"/>
      <c r="E13" s="9"/>
    </row>
    <row r="14" spans="1:25" x14ac:dyDescent="0.3">
      <c r="B14" s="1" t="s">
        <v>14</v>
      </c>
      <c r="C14" s="1" t="s">
        <v>15</v>
      </c>
      <c r="D14" s="1" t="s">
        <v>73</v>
      </c>
    </row>
    <row r="15" spans="1:25" ht="22.05" customHeight="1" x14ac:dyDescent="0.3">
      <c r="B15" s="2" t="s">
        <v>24</v>
      </c>
      <c r="C15" s="2">
        <v>33470</v>
      </c>
      <c r="D15" s="2" t="s">
        <v>96</v>
      </c>
    </row>
    <row r="16" spans="1:25" ht="22.05" customHeight="1" x14ac:dyDescent="0.3">
      <c r="B16" s="3" t="s">
        <v>29</v>
      </c>
      <c r="C16" s="3">
        <v>33430</v>
      </c>
      <c r="D16" s="3" t="s">
        <v>97</v>
      </c>
    </row>
    <row r="17" spans="2:4" ht="22.05" customHeight="1" x14ac:dyDescent="0.3">
      <c r="B17" s="2" t="s">
        <v>34</v>
      </c>
      <c r="C17" s="2">
        <v>33100</v>
      </c>
      <c r="D17" s="2" t="s">
        <v>98</v>
      </c>
    </row>
    <row r="18" spans="2:4" ht="22.05" customHeight="1" x14ac:dyDescent="0.3"/>
    <row r="20" spans="2:4" ht="28.05" customHeight="1" x14ac:dyDescent="0.3"/>
    <row r="22" spans="2:4" ht="22.05" customHeight="1" x14ac:dyDescent="0.3"/>
    <row r="23" spans="2:4" ht="22.05" customHeight="1" x14ac:dyDescent="0.3"/>
    <row r="24" spans="2:4" ht="22.05" customHeight="1" x14ac:dyDescent="0.3"/>
    <row r="26" spans="2:4" ht="28.05" customHeight="1" x14ac:dyDescent="0.3"/>
    <row r="28" spans="2:4" ht="22.05" customHeight="1" x14ac:dyDescent="0.3"/>
    <row r="29" spans="2:4" ht="22.05" customHeight="1" x14ac:dyDescent="0.3"/>
    <row r="30" spans="2:4" ht="22.05" customHeight="1" x14ac:dyDescent="0.3"/>
    <row r="31" spans="2:4" ht="22.05" customHeight="1" x14ac:dyDescent="0.3"/>
    <row r="32" spans="2:4" ht="22.05" customHeight="1" x14ac:dyDescent="0.3"/>
    <row r="34" ht="28.05" customHeight="1" x14ac:dyDescent="0.3"/>
    <row r="36" ht="22.05" customHeight="1" x14ac:dyDescent="0.3"/>
    <row r="37" ht="22.05" customHeight="1" x14ac:dyDescent="0.3"/>
  </sheetData>
  <mergeCells count="7">
    <mergeCell ref="A1:X1"/>
    <mergeCell ref="V4:Y4"/>
    <mergeCell ref="Q4:T4"/>
    <mergeCell ref="A2:X2"/>
    <mergeCell ref="B13:E13"/>
    <mergeCell ref="L4:O4"/>
    <mergeCell ref="A4:J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showGridLines="0" tabSelected="1" zoomScale="83" workbookViewId="0">
      <selection sqref="A1:K1"/>
    </sheetView>
  </sheetViews>
  <sheetFormatPr defaultRowHeight="14.4" x14ac:dyDescent="0.3"/>
  <cols>
    <col min="1" max="11" width="18" customWidth="1"/>
  </cols>
  <sheetData>
    <row r="1" spans="1:11" ht="37.950000000000003" customHeight="1" x14ac:dyDescent="0.3">
      <c r="A1" s="29" t="s">
        <v>111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2.05" customHeight="1" x14ac:dyDescent="0.3">
      <c r="A2" s="5" t="s">
        <v>112</v>
      </c>
      <c r="B2" s="1" t="s">
        <v>113</v>
      </c>
      <c r="C2" s="1" t="s">
        <v>114</v>
      </c>
    </row>
    <row r="3" spans="1:11" ht="22.05" customHeight="1" x14ac:dyDescent="0.3">
      <c r="A3" s="6" t="s">
        <v>115</v>
      </c>
      <c r="B3" s="3" t="s">
        <v>7</v>
      </c>
      <c r="C3" s="3" t="s">
        <v>116</v>
      </c>
    </row>
    <row r="4" spans="1:11" ht="22.05" customHeight="1" x14ac:dyDescent="0.3">
      <c r="A4" s="7" t="s">
        <v>117</v>
      </c>
      <c r="B4" s="2" t="s">
        <v>118</v>
      </c>
      <c r="C4" s="2"/>
    </row>
    <row r="5" spans="1:11" ht="22.05" customHeight="1" x14ac:dyDescent="0.3">
      <c r="A5" s="6" t="s">
        <v>119</v>
      </c>
      <c r="B5" s="3" t="s">
        <v>8</v>
      </c>
      <c r="C5" s="3" t="s">
        <v>120</v>
      </c>
    </row>
    <row r="6" spans="1:11" ht="22.05" customHeight="1" x14ac:dyDescent="0.3">
      <c r="A6" s="7" t="s">
        <v>121</v>
      </c>
      <c r="B6" s="2" t="s">
        <v>122</v>
      </c>
      <c r="C6" s="2"/>
    </row>
    <row r="7" spans="1:11" ht="22.05" customHeight="1" x14ac:dyDescent="0.3">
      <c r="A7" s="6" t="s">
        <v>123</v>
      </c>
      <c r="B7" s="3" t="s">
        <v>124</v>
      </c>
      <c r="C7" s="3"/>
    </row>
    <row r="8" spans="1:11" ht="22.05" customHeight="1" x14ac:dyDescent="0.3">
      <c r="A8" s="7" t="s">
        <v>125</v>
      </c>
      <c r="B8" s="2" t="s">
        <v>126</v>
      </c>
      <c r="C8" s="2"/>
    </row>
    <row r="9" spans="1:11" ht="22.05" customHeight="1" x14ac:dyDescent="0.3">
      <c r="A9" s="6" t="s">
        <v>58</v>
      </c>
      <c r="B9" s="3" t="s">
        <v>53</v>
      </c>
      <c r="C9" s="3"/>
    </row>
    <row r="10" spans="1:11" ht="22.05" customHeight="1" x14ac:dyDescent="0.3">
      <c r="A10" s="7" t="s">
        <v>127</v>
      </c>
      <c r="B10" s="2" t="s">
        <v>128</v>
      </c>
      <c r="C10" s="2"/>
    </row>
    <row r="11" spans="1:11" ht="22.05" customHeight="1" x14ac:dyDescent="0.3">
      <c r="A11" s="6" t="s">
        <v>129</v>
      </c>
      <c r="B11" s="3" t="s">
        <v>110</v>
      </c>
      <c r="C11" s="3"/>
    </row>
    <row r="12" spans="1:11" ht="22.05" customHeight="1" x14ac:dyDescent="0.3">
      <c r="A12" s="7" t="s">
        <v>130</v>
      </c>
      <c r="B12" s="2" t="s">
        <v>131</v>
      </c>
      <c r="C12" s="2" t="s">
        <v>120</v>
      </c>
    </row>
    <row r="13" spans="1:11" ht="22.05" customHeight="1" x14ac:dyDescent="0.3">
      <c r="A13" s="6" t="s">
        <v>77</v>
      </c>
      <c r="B13" s="3" t="s">
        <v>132</v>
      </c>
      <c r="C13" s="3" t="s">
        <v>120</v>
      </c>
    </row>
    <row r="14" spans="1:11" ht="22.05" customHeight="1" x14ac:dyDescent="0.3">
      <c r="A14" s="7" t="s">
        <v>133</v>
      </c>
      <c r="B14" s="2" t="s">
        <v>134</v>
      </c>
      <c r="C14" s="2"/>
    </row>
    <row r="15" spans="1:11" ht="22.05" customHeight="1" x14ac:dyDescent="0.3">
      <c r="A15" s="6" t="s">
        <v>74</v>
      </c>
      <c r="B15" s="3" t="s">
        <v>135</v>
      </c>
      <c r="C15" s="3"/>
    </row>
    <row r="16" spans="1:11" ht="22.05" customHeight="1" x14ac:dyDescent="0.3">
      <c r="A16" s="7" t="s">
        <v>136</v>
      </c>
      <c r="B16" s="2" t="s">
        <v>137</v>
      </c>
      <c r="C16" s="2" t="s">
        <v>138</v>
      </c>
    </row>
    <row r="17" spans="1:3" ht="22.05" customHeight="1" x14ac:dyDescent="0.3">
      <c r="A17" s="6" t="s">
        <v>139</v>
      </c>
      <c r="B17" s="3" t="s">
        <v>140</v>
      </c>
      <c r="C17" s="3" t="s">
        <v>141</v>
      </c>
    </row>
    <row r="18" spans="1:3" ht="22.05" customHeight="1" x14ac:dyDescent="0.3">
      <c r="A18" s="7" t="s">
        <v>142</v>
      </c>
      <c r="B18" s="2" t="s">
        <v>143</v>
      </c>
      <c r="C18" s="2" t="s">
        <v>144</v>
      </c>
    </row>
    <row r="19" spans="1:3" ht="22.05" customHeight="1" x14ac:dyDescent="0.3">
      <c r="A19" s="6" t="s">
        <v>145</v>
      </c>
      <c r="B19" s="3" t="s">
        <v>146</v>
      </c>
      <c r="C19" s="3" t="s">
        <v>147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HR_Dashboard</vt:lpstr>
      <vt:lpstr>ChartData</vt:lpstr>
      <vt:lpstr>Performance Metrics</vt:lpstr>
      <vt:lpstr>Workforce Overview</vt:lpstr>
      <vt:lpstr>Summary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singh</cp:lastModifiedBy>
  <dcterms:created xsi:type="dcterms:W3CDTF">2026-05-24T10:25:15Z</dcterms:created>
  <dcterms:modified xsi:type="dcterms:W3CDTF">2026-05-24T10:53:29Z</dcterms:modified>
</cp:coreProperties>
</file>