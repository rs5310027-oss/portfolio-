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84ecfd387129d26/Desktop/Project github/@git i uploaded project/Best Projects for Data Analyst Portfolio/Business Intelligence Projects/Excel Projects/"/>
    </mc:Choice>
  </mc:AlternateContent>
  <xr:revisionPtr revIDLastSave="168" documentId="11_997CF95972E47047751F65CFB7EA3F63E7E78C2B" xr6:coauthVersionLast="47" xr6:coauthVersionMax="47" xr10:uidLastSave="{B686D4E2-43D4-4614-8267-C511B498CD20}"/>
  <bookViews>
    <workbookView xWindow="-108" yWindow="-108" windowWidth="23256" windowHeight="12456" activeTab="5" xr2:uid="{00000000-000D-0000-FFFF-FFFF00000000}"/>
  </bookViews>
  <sheets>
    <sheet name="📊 Dashboard" sheetId="1" r:id="rId1"/>
    <sheet name="ChartData" sheetId="2" state="hidden" r:id="rId2"/>
    <sheet name="⭐ Performance Metrics" sheetId="3" r:id="rId3"/>
    <sheet name="📈 KPI Charts" sheetId="4" r:id="rId4"/>
    <sheet name="👥 Workforce Overview" sheetId="5" r:id="rId5"/>
    <sheet name="📋 Summary Data" sheetId="6" r:id="rId6"/>
  </sheets>
  <calcPr calcId="0"/>
</workbook>
</file>

<file path=xl/sharedStrings.xml><?xml version="1.0" encoding="utf-8"?>
<sst xmlns="http://schemas.openxmlformats.org/spreadsheetml/2006/main" count="479" uniqueCount="226">
  <si>
    <t>💼  FINANCE ANALYTICS DASHBOARD</t>
  </si>
  <si>
    <t>50,000 Transactions  |  4 Departments  |  4 Regions  |  2024–2025  |  $12.6B Total Revenue</t>
  </si>
  <si>
    <t>💰 Total Revenue</t>
  </si>
  <si>
    <t>📉 Total Expenses</t>
  </si>
  <si>
    <t>📈 Net Profit</t>
  </si>
  <si>
    <t>🧾 Total Tax</t>
  </si>
  <si>
    <t>🔄 Transactions</t>
  </si>
  <si>
    <t>📊 Profit Margin</t>
  </si>
  <si>
    <t>$12.63B</t>
  </si>
  <si>
    <t>$5.72B</t>
  </si>
  <si>
    <t>$6.12B</t>
  </si>
  <si>
    <t>$794.7M</t>
  </si>
  <si>
    <t>50,000</t>
  </si>
  <si>
    <t>48.4%</t>
  </si>
  <si>
    <t>📅 Avg Revenue/Txn</t>
  </si>
  <si>
    <t>🌍 Best Region</t>
  </si>
  <si>
    <t>🏆 Top Department</t>
  </si>
  <si>
    <t>✅ Approved Loans</t>
  </si>
  <si>
    <t>⏳ Pending Loans</t>
  </si>
  <si>
    <t>❌ Rejected Loans</t>
  </si>
  <si>
    <t>$252,621</t>
  </si>
  <si>
    <t>West $3.2B</t>
  </si>
  <si>
    <t>Insurance</t>
  </si>
  <si>
    <t>16,814</t>
  </si>
  <si>
    <t>16,657</t>
  </si>
  <si>
    <t>16,529</t>
  </si>
  <si>
    <t>Department</t>
  </si>
  <si>
    <t>Revenue</t>
  </si>
  <si>
    <t>Net_Profit</t>
  </si>
  <si>
    <t>Region</t>
  </si>
  <si>
    <t>Payment</t>
  </si>
  <si>
    <t>Transactions</t>
  </si>
  <si>
    <t>Loan_Status</t>
  </si>
  <si>
    <t>Month</t>
  </si>
  <si>
    <t>Quarter</t>
  </si>
  <si>
    <t>Expenses</t>
  </si>
  <si>
    <t>Year</t>
  </si>
  <si>
    <t>Corporate Banking</t>
  </si>
  <si>
    <t>East</t>
  </si>
  <si>
    <t>Cash</t>
  </si>
  <si>
    <t>Approved</t>
  </si>
  <si>
    <t>2025-01</t>
  </si>
  <si>
    <t>2024Q1</t>
  </si>
  <si>
    <t>North</t>
  </si>
  <si>
    <t>Credit Card</t>
  </si>
  <si>
    <t>Pending</t>
  </si>
  <si>
    <t>2025-02</t>
  </si>
  <si>
    <t>2024Q2</t>
  </si>
  <si>
    <t>Investment</t>
  </si>
  <si>
    <t>South</t>
  </si>
  <si>
    <t>Debit Card</t>
  </si>
  <si>
    <t>Rejected</t>
  </si>
  <si>
    <t>2025-03</t>
  </si>
  <si>
    <t>2024Q3</t>
  </si>
  <si>
    <t>Retail Banking</t>
  </si>
  <si>
    <t>West</t>
  </si>
  <si>
    <t>Net Banking</t>
  </si>
  <si>
    <t>2025-04</t>
  </si>
  <si>
    <t>2024Q4</t>
  </si>
  <si>
    <t>UPI</t>
  </si>
  <si>
    <t>2025-05</t>
  </si>
  <si>
    <t>2025Q1</t>
  </si>
  <si>
    <t>2025-06</t>
  </si>
  <si>
    <t>2025Q2</t>
  </si>
  <si>
    <t>2025-07</t>
  </si>
  <si>
    <t>2025Q3</t>
  </si>
  <si>
    <t>2025-08</t>
  </si>
  <si>
    <t>2025Q4</t>
  </si>
  <si>
    <t>2025-09</t>
  </si>
  <si>
    <t>2025-10</t>
  </si>
  <si>
    <t>2025-11</t>
  </si>
  <si>
    <t>2025-12</t>
  </si>
  <si>
    <t>⭐  FINANCIAL PERFORMANCE METRICS</t>
  </si>
  <si>
    <t>Department Performance  |  Regional Analysis  |  Loan Performance  |  Profit Margins</t>
  </si>
  <si>
    <t>Avg Profit
Margin</t>
  </si>
  <si>
    <t>Total Profit</t>
  </si>
  <si>
    <t>Best Dept Margin</t>
  </si>
  <si>
    <t>Best Region Revenue</t>
  </si>
  <si>
    <t>Loan Approval Rate</t>
  </si>
  <si>
    <t>Total Tax Paid</t>
  </si>
  <si>
    <t>$6.91B</t>
  </si>
  <si>
    <t>Inv 48.6%</t>
  </si>
  <si>
    <t>33.6%</t>
  </si>
  <si>
    <t>🏢  Department Performance Analysis</t>
  </si>
  <si>
    <t>Revenue ($M)</t>
  </si>
  <si>
    <t>Expenses ($M)</t>
  </si>
  <si>
    <t>Gross Profit ($M)</t>
  </si>
  <si>
    <t>Tax ($M)</t>
  </si>
  <si>
    <t>Net Profit ($M)</t>
  </si>
  <si>
    <t>Qty Sold</t>
  </si>
  <si>
    <t>Profit Margin %</t>
  </si>
  <si>
    <t>48.39%</t>
  </si>
  <si>
    <t>48.51%</t>
  </si>
  <si>
    <t>48.61%</t>
  </si>
  <si>
    <t>48.18%</t>
  </si>
  <si>
    <t>🌍  Regional Performance Analysis</t>
  </si>
  <si>
    <t>% of Total Revenue</t>
  </si>
  <si>
    <t>48.19%</t>
  </si>
  <si>
    <t>24.6%</t>
  </si>
  <si>
    <t>48.47%</t>
  </si>
  <si>
    <t>25.3%</t>
  </si>
  <si>
    <t>48.49%</t>
  </si>
  <si>
    <t>24.8%</t>
  </si>
  <si>
    <t>48.53%</t>
  </si>
  <si>
    <t>💳  Payment Method Analysis</t>
  </si>
  <si>
    <t>Payment Method</t>
  </si>
  <si>
    <t>% Share</t>
  </si>
  <si>
    <t>19.8%</t>
  </si>
  <si>
    <t>20.0%</t>
  </si>
  <si>
    <t>20.4%</t>
  </si>
  <si>
    <t>48.2%</t>
  </si>
  <si>
    <t>19.9%</t>
  </si>
  <si>
    <t>48.8%</t>
  </si>
  <si>
    <t>🏦  Loan Status Performance</t>
  </si>
  <si>
    <t>Loan Status</t>
  </si>
  <si>
    <t>48.5%</t>
  </si>
  <si>
    <t>33.3%</t>
  </si>
  <si>
    <t>48.1%</t>
  </si>
  <si>
    <t>33.1%</t>
  </si>
  <si>
    <t>48.6%</t>
  </si>
  <si>
    <t>📈  KPI CHARTS &amp; TREND ANALYSIS</t>
  </si>
  <si>
    <t>Revenue Trends  |  Expense Analysis  |  Quarterly Performance  |  Profitability</t>
  </si>
  <si>
    <t>2024 Revenue</t>
  </si>
  <si>
    <t>2025 Revenue</t>
  </si>
  <si>
    <t>2024 Net Profit</t>
  </si>
  <si>
    <t>2025 Net Profit</t>
  </si>
  <si>
    <t>YoY Rev Growth</t>
  </si>
  <si>
    <t>Avg Txn / Month</t>
  </si>
  <si>
    <t>$6.30B</t>
  </si>
  <si>
    <t>$6.33B</t>
  </si>
  <si>
    <t>$3.05B</t>
  </si>
  <si>
    <t>$3.06B</t>
  </si>
  <si>
    <t>+0.40%</t>
  </si>
  <si>
    <t>2,083</t>
  </si>
  <si>
    <t>👥  WORKFORCE &amp; OPERATIONS OVERVIEW</t>
  </si>
  <si>
    <t>Departmental Headcount  |  Regional Coverage  |  Payment Channels  |  Loan Portfolio</t>
  </si>
  <si>
    <t>Total Transactions</t>
  </si>
  <si>
    <t>Departments</t>
  </si>
  <si>
    <t>Regions</t>
  </si>
  <si>
    <t>Payment Channels</t>
  </si>
  <si>
    <t>Loan Types</t>
  </si>
  <si>
    <t>4</t>
  </si>
  <si>
    <t>5</t>
  </si>
  <si>
    <t>3</t>
  </si>
  <si>
    <t>🏢  Department Operations Summary</t>
  </si>
  <si>
    <t>% of Total</t>
  </si>
  <si>
    <t>Avg Revenue/Txn ($)</t>
  </si>
  <si>
    <t>25.0%</t>
  </si>
  <si>
    <t>25.1%</t>
  </si>
  <si>
    <t>🌍  Regional Operations Summary</t>
  </si>
  <si>
    <t>25.2%</t>
  </si>
  <si>
    <t>💳  Payment Channel Operations</t>
  </si>
  <si>
    <t>🏦  Loan Portfolio Overview</t>
  </si>
  <si>
    <t>📋  FINANCE ANALYTICS — SUMMARY REPORT</t>
  </si>
  <si>
    <t>Complete Metrics Overview  |  50,000 Transactions  |  Jan 2024 – Dec 2025</t>
  </si>
  <si>
    <t>📊  Key Financial Metrics</t>
  </si>
  <si>
    <t>Metric</t>
  </si>
  <si>
    <t>Value</t>
  </si>
  <si>
    <t>Category</t>
  </si>
  <si>
    <t>Period</t>
  </si>
  <si>
    <t>Volume</t>
  </si>
  <si>
    <t>2024–2025</t>
  </si>
  <si>
    <t>Total Revenue</t>
  </si>
  <si>
    <t>$12,631,071,432</t>
  </si>
  <si>
    <t>Financial</t>
  </si>
  <si>
    <t>Total Expenses</t>
  </si>
  <si>
    <t>$5,720,360,591</t>
  </si>
  <si>
    <t>Total Gross Profit</t>
  </si>
  <si>
    <t>$6,910,710,841</t>
  </si>
  <si>
    <t>Total Tax</t>
  </si>
  <si>
    <t>$794,704,272</t>
  </si>
  <si>
    <t>Total Net Profit</t>
  </si>
  <si>
    <t>$6,116,006,570</t>
  </si>
  <si>
    <t>Avg Revenue per Transaction</t>
  </si>
  <si>
    <t>Avg</t>
  </si>
  <si>
    <t>Avg Net Profit per Txn</t>
  </si>
  <si>
    <t>$122,320</t>
  </si>
  <si>
    <t>Avg Profit Margin</t>
  </si>
  <si>
    <t>Ratio</t>
  </si>
  <si>
    <t>$6,303,080,032</t>
  </si>
  <si>
    <t>Annual</t>
  </si>
  <si>
    <t>2024</t>
  </si>
  <si>
    <t>$6,327,991,400</t>
  </si>
  <si>
    <t>2025</t>
  </si>
  <si>
    <t>$3,054,985,004</t>
  </si>
  <si>
    <t>$3,061,021,566</t>
  </si>
  <si>
    <t>YoY Revenue Growth</t>
  </si>
  <si>
    <t>Growth</t>
  </si>
  <si>
    <t>2024→2025</t>
  </si>
  <si>
    <t>Best Revenue Region</t>
  </si>
  <si>
    <t>West ($3.198B)</t>
  </si>
  <si>
    <t>Regional</t>
  </si>
  <si>
    <t>Best Revenue Department</t>
  </si>
  <si>
    <t>Insurance ($3.18B)</t>
  </si>
  <si>
    <t>Departmental</t>
  </si>
  <si>
    <t>Top Payment Channel</t>
  </si>
  <si>
    <t>Operations</t>
  </si>
  <si>
    <t>Loan</t>
  </si>
  <si>
    <t>Loan Rejection Rate</t>
  </si>
  <si>
    <t>Loan Pending Rate</t>
  </si>
  <si>
    <t>Number of Departments</t>
  </si>
  <si>
    <t>Structure</t>
  </si>
  <si>
    <t>Number of Regions</t>
  </si>
  <si>
    <t>Number of Payment Methods</t>
  </si>
  <si>
    <t>Date Range</t>
  </si>
  <si>
    <t>Jan 2024 – Dec 2025</t>
  </si>
  <si>
    <t>Time</t>
  </si>
  <si>
    <t>24 months</t>
  </si>
  <si>
    <t>🏢  Department Breakdown</t>
  </si>
  <si>
    <t>Qty</t>
  </si>
  <si>
    <t>Margin %</t>
  </si>
  <si>
    <t>🌍  Regional Breakdown</t>
  </si>
  <si>
    <t>Rev Share %</t>
  </si>
  <si>
    <t>📅  Monthly Trend Summary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</si>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</sst>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sz val="10"/>
      <color rgb="FFFFFFFF"/>
      <name val="Calibri"/>
    </font>
    <font>
      <b/>
      <sz val="9"/>
      <color rgb="FFFFFFFF"/>
      <name val="Calibri"/>
    </font>
    <font>
      <b/>
      <sz val="17"/>
      <color rgb="FFFFFFFF"/>
      <name val="Calibri"/>
    </font>
    <font>
      <b/>
      <sz val="20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0D1B2A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D1B4B"/>
      </patternFill>
    </fill>
    <fill>
      <patternFill patternType="solid">
        <fgColor rgb="FF1A3C8A"/>
      </patternFill>
    </fill>
    <fill>
      <patternFill patternType="solid">
        <fgColor rgb="FFC0392B"/>
      </patternFill>
    </fill>
    <fill>
      <patternFill patternType="solid">
        <fgColor rgb="FF1A8C4E"/>
      </patternFill>
    </fill>
    <fill>
      <patternFill patternType="solid">
        <fgColor rgb="FF6C3483"/>
      </patternFill>
    </fill>
    <fill>
      <patternFill patternType="solid">
        <fgColor rgb="FF117A65"/>
      </patternFill>
    </fill>
    <fill>
      <patternFill patternType="solid">
        <fgColor rgb="FFD4A017"/>
      </patternFill>
    </fill>
    <fill>
      <patternFill patternType="solid">
        <fgColor rgb="FF2E62C8"/>
      </patternFill>
    </fill>
    <fill>
      <patternFill patternType="solid">
        <fgColor rgb="FFEEF4FD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ABBCC"/>
      </left>
      <right style="thin">
        <color rgb="FFAABBCC"/>
      </right>
      <top style="thin">
        <color rgb="FFAABBCC"/>
      </top>
      <bottom style="thin">
        <color rgb="FFAABBCC"/>
      </bottom>
      <diagonal/>
    </border>
    <border>
      <left/>
      <right/>
      <top/>
      <bottom style="thin">
        <color rgb="FFAABB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right" vertical="center"/>
    </xf>
    <xf numFmtId="0" fontId="8" fillId="11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4C84F9F-ED18-433E-88C2-3881EC1373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Department (M$)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586995037606799"/>
          <c:y val="0.20690890187603345"/>
          <c:w val="0.67621516655631841"/>
          <c:h val="0.6784313965107676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ChartData!$A$2:$A$5</c:f>
              <c:strCache>
                <c:ptCount val="4"/>
                <c:pt idx="0">
                  <c:v>Corporate Banking</c:v>
                </c:pt>
                <c:pt idx="1">
                  <c:v>Insurance</c:v>
                </c:pt>
                <c:pt idx="2">
                  <c:v>Investment</c:v>
                </c:pt>
                <c:pt idx="3">
                  <c:v>Retail Banking</c:v>
                </c:pt>
              </c:strCache>
            </c:strRef>
          </c:cat>
          <c:val>
            <c:numRef>
              <c:f>ChartData!$B$2:$B$5</c:f>
              <c:numCache>
                <c:formatCode>General</c:formatCode>
                <c:ptCount val="4"/>
                <c:pt idx="0">
                  <c:v>3173.6</c:v>
                </c:pt>
                <c:pt idx="1">
                  <c:v>3177.51</c:v>
                </c:pt>
                <c:pt idx="2">
                  <c:v>3159.64</c:v>
                </c:pt>
                <c:pt idx="3">
                  <c:v>3120.33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1AC-9994-B6F1AD4B7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Net Profit by Region (M$)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3900245895174968E-2"/>
          <c:y val="0.16199120370370371"/>
          <c:w val="0.85968696331818417"/>
          <c:h val="0.7643615740740742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ChartData!$H$1</c:f>
              <c:strCache>
                <c:ptCount val="1"/>
                <c:pt idx="0">
                  <c:v>Net_Profit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ChartData!$G$2:$G$5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ChartData!$H$2:$H$5</c:f>
              <c:numCache>
                <c:formatCode>General</c:formatCode>
                <c:ptCount val="4"/>
                <c:pt idx="0">
                  <c:v>1496.65</c:v>
                </c:pt>
                <c:pt idx="1">
                  <c:v>1546.38</c:v>
                </c:pt>
                <c:pt idx="2">
                  <c:v>1521.14</c:v>
                </c:pt>
                <c:pt idx="3">
                  <c:v>1551.84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0-4286-A603-6B8EA7C0D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1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 Status Distribution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113649884238926"/>
          <c:y val="0.16756944444444444"/>
          <c:w val="0.52945248404876111"/>
          <c:h val="0.77069444444444457"/>
        </c:manualLayout>
      </c:layout>
      <c:pieChart>
        <c:varyColors val="1"/>
        <c:ser>
          <c:idx val="0"/>
          <c:order val="0"/>
          <c:tx>
            <c:strRef>
              <c:f>ChartData!$L$1</c:f>
              <c:strCache>
                <c:ptCount val="1"/>
                <c:pt idx="0">
                  <c:v>Transactions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ED1-42CD-8A60-3815C719F0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ED1-42CD-8A60-3815C719F0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ED1-42CD-8A60-3815C719F00A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ChartData!$K$2:$K$4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ChartData!$L$2:$L$4</c:f>
              <c:numCache>
                <c:formatCode>General</c:formatCode>
                <c:ptCount val="3"/>
                <c:pt idx="0">
                  <c:v>16814</c:v>
                </c:pt>
                <c:pt idx="1">
                  <c:v>16657</c:v>
                </c:pt>
                <c:pt idx="2">
                  <c:v>16529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2-48DB-9032-E9A6D22B6C6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vs Net Profit — Last 12 Months (M$)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60236093305105E-2"/>
          <c:y val="0.1874761962027745"/>
          <c:w val="0.88770586422482967"/>
          <c:h val="0.73479679314728752"/>
        </c:manualLayout>
      </c:layout>
      <c:lineChart>
        <c:grouping val="standard"/>
        <c:varyColors val="1"/>
        <c:ser>
          <c:idx val="0"/>
          <c:order val="0"/>
          <c:tx>
            <c:strRef>
              <c:f>ChartData!$N$1</c:f>
              <c:strCache>
                <c:ptCount val="1"/>
                <c:pt idx="0">
                  <c:v>Revenue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ChartData!$M$2:$M$13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ChartData!$N$2:$N$13</c:f>
              <c:numCache>
                <c:formatCode>General</c:formatCode>
                <c:ptCount val="12"/>
                <c:pt idx="0">
                  <c:v>579.19000000000005</c:v>
                </c:pt>
                <c:pt idx="1">
                  <c:v>489.47</c:v>
                </c:pt>
                <c:pt idx="2">
                  <c:v>545.21</c:v>
                </c:pt>
                <c:pt idx="3">
                  <c:v>528.02</c:v>
                </c:pt>
                <c:pt idx="4">
                  <c:v>529.1</c:v>
                </c:pt>
                <c:pt idx="5">
                  <c:v>481.68</c:v>
                </c:pt>
                <c:pt idx="6">
                  <c:v>531.82000000000005</c:v>
                </c:pt>
                <c:pt idx="7">
                  <c:v>532.47</c:v>
                </c:pt>
                <c:pt idx="8">
                  <c:v>516.42999999999995</c:v>
                </c:pt>
                <c:pt idx="9">
                  <c:v>534.44000000000005</c:v>
                </c:pt>
                <c:pt idx="10">
                  <c:v>532.88</c:v>
                </c:pt>
                <c:pt idx="11">
                  <c:v>527.28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A6-4C0A-8ECE-23E60F6D3D44}"/>
            </c:ext>
          </c:extLst>
        </c:ser>
        <c:ser>
          <c:idx val="1"/>
          <c:order val="1"/>
          <c:tx>
            <c:strRef>
              <c:f>ChartData!$O$1</c:f>
              <c:strCache>
                <c:ptCount val="1"/>
                <c:pt idx="0">
                  <c:v>Net_Profit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ChartData!$M$2:$M$13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ChartData!$O$2:$O$13</c:f>
              <c:numCache>
                <c:formatCode>General</c:formatCode>
                <c:ptCount val="12"/>
                <c:pt idx="0">
                  <c:v>277.95</c:v>
                </c:pt>
                <c:pt idx="1">
                  <c:v>236.09</c:v>
                </c:pt>
                <c:pt idx="2">
                  <c:v>263.58</c:v>
                </c:pt>
                <c:pt idx="3">
                  <c:v>255.68</c:v>
                </c:pt>
                <c:pt idx="4">
                  <c:v>256.8</c:v>
                </c:pt>
                <c:pt idx="5">
                  <c:v>229.81</c:v>
                </c:pt>
                <c:pt idx="6">
                  <c:v>264.5</c:v>
                </c:pt>
                <c:pt idx="7">
                  <c:v>257.92</c:v>
                </c:pt>
                <c:pt idx="8">
                  <c:v>247.66</c:v>
                </c:pt>
                <c:pt idx="9">
                  <c:v>265.3</c:v>
                </c:pt>
                <c:pt idx="10">
                  <c:v>251.81</c:v>
                </c:pt>
                <c:pt idx="11">
                  <c:v>253.92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FA6-4C0A-8ECE-23E60F6D3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M$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8911315503634042"/>
          <c:y val="0.13408667710965055"/>
          <c:w val="0.22520483327555213"/>
          <c:h val="6.7054926610269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Quarterly Revenue (M$)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569323073815401E-2"/>
          <c:y val="0.16709646464646466"/>
          <c:w val="0.78561532890864205"/>
          <c:h val="0.7525611111111111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ChartData!$Q$1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ChartData!$P$2:$P$9</c:f>
              <c:strCache>
                <c:ptCount val="8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  <c:pt idx="6">
                  <c:v>2025Q3</c:v>
                </c:pt>
                <c:pt idx="7">
                  <c:v>2025Q4</c:v>
                </c:pt>
              </c:strCache>
            </c:strRef>
          </c:cat>
          <c:val>
            <c:numRef>
              <c:f>ChartData!$Q$2:$Q$9</c:f>
              <c:numCache>
                <c:formatCode>General</c:formatCode>
                <c:ptCount val="8"/>
                <c:pt idx="0">
                  <c:v>1580.35</c:v>
                </c:pt>
                <c:pt idx="1">
                  <c:v>1527.47</c:v>
                </c:pt>
                <c:pt idx="2">
                  <c:v>1599.73</c:v>
                </c:pt>
                <c:pt idx="3">
                  <c:v>1595.53</c:v>
                </c:pt>
                <c:pt idx="4">
                  <c:v>1613.87</c:v>
                </c:pt>
                <c:pt idx="5">
                  <c:v>1538.8</c:v>
                </c:pt>
                <c:pt idx="6">
                  <c:v>1580.72</c:v>
                </c:pt>
                <c:pt idx="7">
                  <c:v>1594.6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1-49F3-839C-DEAC9984A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Payment Method (M$)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09920634920633"/>
          <c:y val="0.14677801077913055"/>
          <c:w val="0.60968591269841266"/>
          <c:h val="0.78918979308538151"/>
        </c:manualLayout>
      </c:layout>
      <c:pieChart>
        <c:varyColors val="1"/>
        <c:ser>
          <c:idx val="0"/>
          <c:order val="0"/>
          <c:tx>
            <c:strRef>
              <c:f>ChartData!$S$1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88-4C7D-8EDF-5AD9A09201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88-4C7D-8EDF-5AD9A09201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688-4C7D-8EDF-5AD9A09201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688-4C7D-8EDF-5AD9A09201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688-4C7D-8EDF-5AD9A09201E5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ChartData!$R$2:$R$6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ChartData!$S$2:$S$6</c:f>
              <c:numCache>
                <c:formatCode>General</c:formatCode>
                <c:ptCount val="5"/>
                <c:pt idx="0">
                  <c:v>2500.4899999999998</c:v>
                </c:pt>
                <c:pt idx="1">
                  <c:v>2557.94</c:v>
                </c:pt>
                <c:pt idx="2">
                  <c:v>2486.1999999999998</c:v>
                </c:pt>
                <c:pt idx="3">
                  <c:v>2575.92</c:v>
                </c:pt>
                <c:pt idx="4">
                  <c:v>2510.5100000000002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E-4D97-9A51-C9B46E44727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layout>
        <c:manualLayout>
          <c:xMode val="edge"/>
          <c:yMode val="edge"/>
          <c:x val="0.42612144638680582"/>
          <c:y val="1.82893197573136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37876015774798"/>
          <c:y val="0.24448260186455054"/>
          <c:w val="0.84012523503638481"/>
          <c:h val="0.5588664077999868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ChartData!$D$1</c:f>
              <c:strCache>
                <c:ptCount val="1"/>
                <c:pt idx="0">
                  <c:v>Net_Profit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ChartData!$C$2:$C$5</c:f>
              <c:strCache>
                <c:ptCount val="4"/>
                <c:pt idx="0">
                  <c:v>Corporate Banking</c:v>
                </c:pt>
                <c:pt idx="1">
                  <c:v>Insurance</c:v>
                </c:pt>
                <c:pt idx="2">
                  <c:v>Investment</c:v>
                </c:pt>
                <c:pt idx="3">
                  <c:v>Retail Banking</c:v>
                </c:pt>
              </c:strCache>
            </c:strRef>
          </c:cat>
          <c:val>
            <c:numRef>
              <c:f>ChartData!$D$2:$D$5</c:f>
              <c:numCache>
                <c:formatCode>General</c:formatCode>
                <c:ptCount val="4"/>
                <c:pt idx="0">
                  <c:v>1535.58</c:v>
                </c:pt>
                <c:pt idx="1">
                  <c:v>1541.26</c:v>
                </c:pt>
                <c:pt idx="2">
                  <c:v>1535.76</c:v>
                </c:pt>
                <c:pt idx="3">
                  <c:v>1503.42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4-4F88-A2BC-95FF9714A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5.2874726710432231E-2"/>
          <c:y val="0.10488948882551365"/>
          <c:w val="0.8999998415548629"/>
          <c:h val="0.11763488853355657"/>
        </c:manualLayout>
      </c:layout>
      <c:overlay val="0"/>
    </c:legend>
    <c:plotVisOnly val="1"/>
    <c:dispBlanksAs val="gap"/>
    <c:showDLblsOverMax val="1"/>
  </c:chart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Region (M$)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218749999999994E-2"/>
          <c:y val="0.10136846570187047"/>
          <c:w val="0.79096892361111115"/>
          <c:h val="0.8176593697515598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ChartData!$F$1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ChartData!$E$2:$E$5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ChartData!$F$2:$F$5</c:f>
              <c:numCache>
                <c:formatCode>General</c:formatCode>
                <c:ptCount val="4"/>
                <c:pt idx="0">
                  <c:v>3105.68</c:v>
                </c:pt>
                <c:pt idx="1">
                  <c:v>3190.64</c:v>
                </c:pt>
                <c:pt idx="2">
                  <c:v>3136.73</c:v>
                </c:pt>
                <c:pt idx="3">
                  <c:v>3198.01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3-47FF-923A-1D26B448A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Payment Method Transactions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ChartData!$J$1</c:f>
              <c:strCache>
                <c:ptCount val="1"/>
                <c:pt idx="0">
                  <c:v>Transactions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ChartData!$I$2:$I$6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ChartData!$J$2:$J$6</c:f>
              <c:numCache>
                <c:formatCode>General</c:formatCode>
                <c:ptCount val="5"/>
                <c:pt idx="0">
                  <c:v>9917</c:v>
                </c:pt>
                <c:pt idx="1">
                  <c:v>10023</c:v>
                </c:pt>
                <c:pt idx="2">
                  <c:v>9890</c:v>
                </c:pt>
                <c:pt idx="3">
                  <c:v>10199</c:v>
                </c:pt>
                <c:pt idx="4">
                  <c:v>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9-45E8-A44A-86D65B09D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2400"/>
            </a:pPr>
            <a:r>
              <a:rPr lang="en-IN" sz="2400"/>
              <a:t>Monthly Revenue &amp; Net Profit Trend — 24 Months (M$)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339976887915748"/>
          <c:y val="0.12703833707533543"/>
          <c:w val="0.86722789280969503"/>
          <c:h val="0.74376034321011086"/>
        </c:manualLayout>
      </c:layout>
      <c:lineChart>
        <c:grouping val="standard"/>
        <c:varyColors val="1"/>
        <c:ser>
          <c:idx val="0"/>
          <c:order val="0"/>
          <c:tx>
            <c:strRef>
              <c:f>ChartData!$N$1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ChartData!$M$2:$M$25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ChartData!$N$2:$N$25</c:f>
              <c:numCache>
                <c:formatCode>General</c:formatCode>
                <c:ptCount val="24"/>
                <c:pt idx="0">
                  <c:v>579.19000000000005</c:v>
                </c:pt>
                <c:pt idx="1">
                  <c:v>489.47</c:v>
                </c:pt>
                <c:pt idx="2">
                  <c:v>545.21</c:v>
                </c:pt>
                <c:pt idx="3">
                  <c:v>528.02</c:v>
                </c:pt>
                <c:pt idx="4">
                  <c:v>529.1</c:v>
                </c:pt>
                <c:pt idx="5">
                  <c:v>481.68</c:v>
                </c:pt>
                <c:pt idx="6">
                  <c:v>531.82000000000005</c:v>
                </c:pt>
                <c:pt idx="7">
                  <c:v>532.47</c:v>
                </c:pt>
                <c:pt idx="8">
                  <c:v>516.42999999999995</c:v>
                </c:pt>
                <c:pt idx="9">
                  <c:v>534.44000000000005</c:v>
                </c:pt>
                <c:pt idx="10">
                  <c:v>532.88</c:v>
                </c:pt>
                <c:pt idx="11">
                  <c:v>527.28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BB-4E7B-9ECD-FB96DBF003CC}"/>
            </c:ext>
          </c:extLst>
        </c:ser>
        <c:ser>
          <c:idx val="1"/>
          <c:order val="1"/>
          <c:tx>
            <c:strRef>
              <c:f>ChartData!$O$1</c:f>
              <c:strCache>
                <c:ptCount val="1"/>
                <c:pt idx="0">
                  <c:v>Net_Profit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ChartData!$M$2:$M$25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ChartData!$O$2:$O$25</c:f>
              <c:numCache>
                <c:formatCode>General</c:formatCode>
                <c:ptCount val="24"/>
                <c:pt idx="0">
                  <c:v>277.95</c:v>
                </c:pt>
                <c:pt idx="1">
                  <c:v>236.09</c:v>
                </c:pt>
                <c:pt idx="2">
                  <c:v>263.58</c:v>
                </c:pt>
                <c:pt idx="3">
                  <c:v>255.68</c:v>
                </c:pt>
                <c:pt idx="4">
                  <c:v>256.8</c:v>
                </c:pt>
                <c:pt idx="5">
                  <c:v>229.81</c:v>
                </c:pt>
                <c:pt idx="6">
                  <c:v>264.5</c:v>
                </c:pt>
                <c:pt idx="7">
                  <c:v>257.92</c:v>
                </c:pt>
                <c:pt idx="8">
                  <c:v>247.66</c:v>
                </c:pt>
                <c:pt idx="9">
                  <c:v>265.3</c:v>
                </c:pt>
                <c:pt idx="10">
                  <c:v>251.81</c:v>
                </c:pt>
                <c:pt idx="11">
                  <c:v>253.92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4BB-4E7B-9ECD-FB96DBF00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7344817083049802"/>
          <c:y val="0.35519969642348925"/>
          <c:w val="0.11914442176209455"/>
          <c:h val="0.18786031264164268"/>
        </c:manualLayout>
      </c:layout>
      <c:overlay val="0"/>
    </c:legend>
    <c:plotVisOnly val="1"/>
    <c:dispBlanksAs val="gap"/>
    <c:showDLblsOverMax val="1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2400"/>
            </a:pPr>
            <a:r>
              <a:rPr lang="en-IN" sz="2400"/>
              <a:t>Quarterly Revenue (M$)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530991318392891"/>
          <c:y val="0.18209444444444445"/>
          <c:w val="0.83634564910155462"/>
          <c:h val="0.7417824786324785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ChartData!$Q$1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ChartData!$P$2:$P$9</c:f>
              <c:strCache>
                <c:ptCount val="8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  <c:pt idx="6">
                  <c:v>2025Q3</c:v>
                </c:pt>
                <c:pt idx="7">
                  <c:v>2025Q4</c:v>
                </c:pt>
              </c:strCache>
            </c:strRef>
          </c:cat>
          <c:val>
            <c:numRef>
              <c:f>ChartData!$Q$2:$Q$9</c:f>
              <c:numCache>
                <c:formatCode>General</c:formatCode>
                <c:ptCount val="8"/>
                <c:pt idx="0">
                  <c:v>1580.35</c:v>
                </c:pt>
                <c:pt idx="1">
                  <c:v>1527.47</c:v>
                </c:pt>
                <c:pt idx="2">
                  <c:v>1599.73</c:v>
                </c:pt>
                <c:pt idx="3">
                  <c:v>1595.53</c:v>
                </c:pt>
                <c:pt idx="4">
                  <c:v>1613.87</c:v>
                </c:pt>
                <c:pt idx="5">
                  <c:v>1538.8</c:v>
                </c:pt>
                <c:pt idx="6">
                  <c:v>1580.72</c:v>
                </c:pt>
                <c:pt idx="7">
                  <c:v>1594.6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E-4886-9328-B4F093630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6873044114677974"/>
          <c:y val="0.13297008547008546"/>
          <c:w val="0.83126955885322029"/>
          <c:h val="6.8750000000000006E-2"/>
        </c:manualLayout>
      </c:layout>
      <c:overlay val="0"/>
    </c:legend>
    <c:plotVisOnly val="1"/>
    <c:dispBlanksAs val="gap"/>
    <c:showDLblsOverMax val="1"/>
  </c:chart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2400"/>
            </a:pPr>
            <a:r>
              <a:rPr lang="en-IN" sz="2400"/>
              <a:t>Expenses by Department (M$)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402009222661397"/>
          <c:y val="0.24028226495726496"/>
          <c:w val="0.80572565116043382"/>
          <c:h val="0.6851551282051281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ChartData!$U$1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ChartData!$T$2:$T$5</c:f>
              <c:strCache>
                <c:ptCount val="4"/>
                <c:pt idx="0">
                  <c:v>Corporate Banking</c:v>
                </c:pt>
                <c:pt idx="1">
                  <c:v>Insurance</c:v>
                </c:pt>
                <c:pt idx="2">
                  <c:v>Investment</c:v>
                </c:pt>
                <c:pt idx="3">
                  <c:v>Retail Banking</c:v>
                </c:pt>
              </c:strCache>
            </c:strRef>
          </c:cat>
          <c:val>
            <c:numRef>
              <c:f>ChartData!$U$2:$U$5</c:f>
              <c:numCache>
                <c:formatCode>General</c:formatCode>
                <c:ptCount val="4"/>
                <c:pt idx="0">
                  <c:v>1438.2</c:v>
                </c:pt>
                <c:pt idx="1">
                  <c:v>1436.42</c:v>
                </c:pt>
                <c:pt idx="2">
                  <c:v>1424.25</c:v>
                </c:pt>
                <c:pt idx="3">
                  <c:v>1421.49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3-4E65-9A0F-3FB78C226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561706952467822"/>
          <c:y val="0.14653846153846153"/>
          <c:w val="0.82992930982061419"/>
          <c:h val="6.8750000000000006E-2"/>
        </c:manualLayout>
      </c:layout>
      <c:overlay val="0"/>
    </c:legend>
    <c:plotVisOnly val="1"/>
    <c:dispBlanksAs val="gap"/>
    <c:showDLblsOverMax val="1"/>
  </c:chart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2400"/>
            </a:pPr>
            <a:r>
              <a:rPr lang="en-IN" sz="2400"/>
              <a:t>Net Profit by Loan Status (M$)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4906244086260376E-2"/>
          <c:y val="0.11150527612619851"/>
          <c:w val="0.64693818445108142"/>
          <c:h val="0.84233992179548978"/>
        </c:manualLayout>
      </c:layout>
      <c:pieChart>
        <c:varyColors val="1"/>
        <c:ser>
          <c:idx val="0"/>
          <c:order val="0"/>
          <c:tx>
            <c:strRef>
              <c:f>ChartData!$W$1</c:f>
              <c:strCache>
                <c:ptCount val="1"/>
                <c:pt idx="0">
                  <c:v>Net_Profit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ChartData!$V$2:$V$4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ChartData!$W$2:$W$4</c:f>
              <c:numCache>
                <c:formatCode>General</c:formatCode>
                <c:ptCount val="3"/>
                <c:pt idx="0">
                  <c:v>2061.31</c:v>
                </c:pt>
                <c:pt idx="1">
                  <c:v>2025.15</c:v>
                </c:pt>
                <c:pt idx="2">
                  <c:v>2029.54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9-4A11-9605-2DB5E6762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2400"/>
            </a:pPr>
            <a:r>
              <a:rPr lang="en-IN" sz="2400"/>
              <a:t>Revenue by Department (M$)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5218216524587317E-2"/>
          <c:y val="0.20793038165311303"/>
          <c:w val="0.86941357020455101"/>
          <c:h val="0.7099612753323867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ChartData!$A$2:$A$5</c:f>
              <c:strCache>
                <c:ptCount val="4"/>
                <c:pt idx="0">
                  <c:v>Corporate Banking</c:v>
                </c:pt>
                <c:pt idx="1">
                  <c:v>Insurance</c:v>
                </c:pt>
                <c:pt idx="2">
                  <c:v>Investment</c:v>
                </c:pt>
                <c:pt idx="3">
                  <c:v>Retail Banking</c:v>
                </c:pt>
              </c:strCache>
            </c:strRef>
          </c:cat>
          <c:val>
            <c:numRef>
              <c:f>ChartData!$B$2:$B$5</c:f>
              <c:numCache>
                <c:formatCode>General</c:formatCode>
                <c:ptCount val="4"/>
                <c:pt idx="0">
                  <c:v>3173.6</c:v>
                </c:pt>
                <c:pt idx="1">
                  <c:v>3177.51</c:v>
                </c:pt>
                <c:pt idx="2">
                  <c:v>3159.64</c:v>
                </c:pt>
                <c:pt idx="3">
                  <c:v>3120.33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B-43AB-B74F-E7CA2A219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8802694084727015"/>
          <c:y val="0.15573770491803279"/>
          <c:w val="0.7119730591527299"/>
          <c:h val="8.2433845359493996E-2"/>
        </c:manualLayout>
      </c:layout>
      <c:overlay val="0"/>
      <c:txPr>
        <a:bodyPr/>
        <a:lstStyle/>
        <a:p>
          <a:pPr>
            <a:defRPr sz="2000"/>
          </a:pPr>
          <a:endParaRPr lang="en-US"/>
        </a:p>
      </c:txPr>
    </c:legend>
    <c:plotVisOnly val="1"/>
    <c:dispBlanksAs val="gap"/>
    <c:showDLblsOverMax val="1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Transactions by Department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12145359712973"/>
          <c:y val="0.15042516137694967"/>
          <c:w val="0.83247867815094867"/>
          <c:h val="0.7272758608941717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ChartData!$A$2:$A$5</c:f>
              <c:strCache>
                <c:ptCount val="4"/>
                <c:pt idx="0">
                  <c:v>Corporate Banking</c:v>
                </c:pt>
                <c:pt idx="1">
                  <c:v>Insurance</c:v>
                </c:pt>
                <c:pt idx="2">
                  <c:v>Investment</c:v>
                </c:pt>
                <c:pt idx="3">
                  <c:v>Retail Banking</c:v>
                </c:pt>
              </c:strCache>
            </c:strRef>
          </c:cat>
          <c:val>
            <c:numRef>
              <c:f>ChartData!$B$2:$B$5</c:f>
              <c:numCache>
                <c:formatCode>General</c:formatCode>
                <c:ptCount val="4"/>
                <c:pt idx="0">
                  <c:v>3173.6</c:v>
                </c:pt>
                <c:pt idx="1">
                  <c:v>3177.51</c:v>
                </c:pt>
                <c:pt idx="2">
                  <c:v>3159.64</c:v>
                </c:pt>
                <c:pt idx="3">
                  <c:v>3120.33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5-4A94-83D7-899F50CD5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7.1931393926637596E-2"/>
          <c:y val="7.6354694611282456E-2"/>
          <c:w val="0.85990309305798929"/>
          <c:h val="7.0641319312927997E-2"/>
        </c:manualLayout>
      </c:layout>
      <c:overlay val="0"/>
    </c:legend>
    <c:plotVisOnly val="1"/>
    <c:dispBlanksAs val="gap"/>
    <c:showDLblsOverMax val="1"/>
  </c:chart>
  <c:txPr>
    <a:bodyPr/>
    <a:lstStyle/>
    <a:p>
      <a:pPr>
        <a:defRPr sz="18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2400"/>
            </a:pPr>
            <a:r>
              <a:rPr lang="en-IN" sz="2400"/>
              <a:t>Transactions by Region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462883207464949"/>
          <c:y val="0.21700640460437731"/>
          <c:w val="0.85200857634849669"/>
          <c:h val="0.697172333331547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ChartData!$F$1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ChartData!$E$2:$E$5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ChartData!$F$2:$F$5</c:f>
              <c:numCache>
                <c:formatCode>General</c:formatCode>
                <c:ptCount val="4"/>
                <c:pt idx="0">
                  <c:v>3105.68</c:v>
                </c:pt>
                <c:pt idx="1">
                  <c:v>3190.64</c:v>
                </c:pt>
                <c:pt idx="2">
                  <c:v>3136.73</c:v>
                </c:pt>
                <c:pt idx="3">
                  <c:v>3198.01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8-4130-8B0D-78C3F59EE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7810535698988542"/>
          <c:y val="0.10333335913194422"/>
          <c:w val="0.44759550623175759"/>
          <c:h val="6.9952139607793645E-2"/>
        </c:manualLayout>
      </c:layout>
      <c:overlay val="0"/>
    </c:legend>
    <c:plotVisOnly val="1"/>
    <c:dispBlanksAs val="gap"/>
    <c:showDLblsOverMax val="1"/>
  </c:chart>
  <c:txPr>
    <a:bodyPr/>
    <a:lstStyle/>
    <a:p>
      <a:pPr>
        <a:defRPr sz="18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 Status Breakdown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507936507936501E-2"/>
          <c:y val="0.14405092592592592"/>
          <c:w val="0.61775793650793664"/>
          <c:h val="0.72071759259259272"/>
        </c:manualLayout>
      </c:layout>
      <c:pieChart>
        <c:varyColors val="1"/>
        <c:ser>
          <c:idx val="0"/>
          <c:order val="0"/>
          <c:tx>
            <c:strRef>
              <c:f>ChartData!$L$1</c:f>
              <c:strCache>
                <c:ptCount val="1"/>
                <c:pt idx="0">
                  <c:v>Transactions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43-466D-89B0-AFAC4387D4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043-466D-89B0-AFAC4387D4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043-466D-89B0-AFAC4387D4D5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ChartData!$K$2:$K$4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ChartData!$L$2:$L$4</c:f>
              <c:numCache>
                <c:formatCode>General</c:formatCode>
                <c:ptCount val="3"/>
                <c:pt idx="0">
                  <c:v>16814</c:v>
                </c:pt>
                <c:pt idx="1">
                  <c:v>16657</c:v>
                </c:pt>
                <c:pt idx="2">
                  <c:v>16529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4-4035-B67A-B32B47D87A4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40853174603174"/>
          <c:y val="0.3961872685185186"/>
          <c:w val="0.22859146825396826"/>
          <c:h val="0.2447854166666666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8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 (M$)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9523234097325455E-2"/>
          <c:y val="0.290641452991453"/>
          <c:w val="0.91607470339346098"/>
          <c:h val="0.65494487179487182"/>
        </c:manualLayout>
      </c:layout>
      <c:lineChart>
        <c:grouping val="standard"/>
        <c:varyColors val="1"/>
        <c:ser>
          <c:idx val="0"/>
          <c:order val="0"/>
          <c:tx>
            <c:strRef>
              <c:f>ChartData!$N$1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ChartData!$M$2:$M$25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ChartData!$N$2:$N$25</c:f>
              <c:numCache>
                <c:formatCode>General</c:formatCode>
                <c:ptCount val="24"/>
                <c:pt idx="0">
                  <c:v>579.19000000000005</c:v>
                </c:pt>
                <c:pt idx="1">
                  <c:v>489.47</c:v>
                </c:pt>
                <c:pt idx="2">
                  <c:v>545.21</c:v>
                </c:pt>
                <c:pt idx="3">
                  <c:v>528.02</c:v>
                </c:pt>
                <c:pt idx="4">
                  <c:v>529.1</c:v>
                </c:pt>
                <c:pt idx="5">
                  <c:v>481.68</c:v>
                </c:pt>
                <c:pt idx="6">
                  <c:v>531.82000000000005</c:v>
                </c:pt>
                <c:pt idx="7">
                  <c:v>532.47</c:v>
                </c:pt>
                <c:pt idx="8">
                  <c:v>516.42999999999995</c:v>
                </c:pt>
                <c:pt idx="9">
                  <c:v>534.44000000000005</c:v>
                </c:pt>
                <c:pt idx="10">
                  <c:v>532.88</c:v>
                </c:pt>
                <c:pt idx="11">
                  <c:v>527.28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1B-4E4F-9882-AA6E7298C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6.9873726046097928E-2"/>
          <c:y val="0.11397435897435898"/>
          <c:w val="0.81300134301314686"/>
          <c:h val="0.24470811965811967"/>
        </c:manualLayout>
      </c:layout>
      <c:overlay val="0"/>
    </c:legend>
    <c:plotVisOnly val="1"/>
    <c:dispBlanksAs val="gap"/>
    <c:showDLblsOverMax val="1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Dept Revenue vs Net Profit (M$)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21578125"/>
          <c:y val="0.23094059829059829"/>
          <c:w val="0.85062083333333338"/>
          <c:h val="0.6481200854700853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ChartData!$A$2:$A$5</c:f>
              <c:strCache>
                <c:ptCount val="4"/>
                <c:pt idx="0">
                  <c:v>Corporate Banking</c:v>
                </c:pt>
                <c:pt idx="1">
                  <c:v>Insurance</c:v>
                </c:pt>
                <c:pt idx="2">
                  <c:v>Investment</c:v>
                </c:pt>
                <c:pt idx="3">
                  <c:v>Retail Banking</c:v>
                </c:pt>
              </c:strCache>
            </c:strRef>
          </c:cat>
          <c:val>
            <c:numRef>
              <c:f>ChartData!$B$2:$B$5</c:f>
              <c:numCache>
                <c:formatCode>General</c:formatCode>
                <c:ptCount val="4"/>
                <c:pt idx="0">
                  <c:v>3173.6</c:v>
                </c:pt>
                <c:pt idx="1">
                  <c:v>3177.51</c:v>
                </c:pt>
                <c:pt idx="2">
                  <c:v>3159.64</c:v>
                </c:pt>
                <c:pt idx="3">
                  <c:v>3120.33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1-4577-A2F6-A2233D9DA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6950798611111112"/>
          <c:y val="0.10040598290598289"/>
          <c:w val="0.83049201388888894"/>
          <c:h val="6.2194658119658117E-2"/>
        </c:manualLayout>
      </c:layout>
      <c:overlay val="0"/>
    </c:legend>
    <c:plotVisOnly val="1"/>
    <c:dispBlanksAs val="gap"/>
    <c:showDLblsOverMax val="1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64852</xdr:rowOff>
    </xdr:from>
    <xdr:ext cx="6712084" cy="425514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97276</xdr:colOff>
      <xdr:row>15</xdr:row>
      <xdr:rowOff>48638</xdr:rowOff>
    </xdr:from>
    <xdr:ext cx="849549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20</xdr:col>
      <xdr:colOff>485320</xdr:colOff>
      <xdr:row>15</xdr:row>
      <xdr:rowOff>61130</xdr:rowOff>
    </xdr:from>
    <xdr:ext cx="6288383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688346</xdr:colOff>
      <xdr:row>38</xdr:row>
      <xdr:rowOff>159008</xdr:rowOff>
    </xdr:from>
    <xdr:ext cx="9711923" cy="388330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622608</xdr:colOff>
      <xdr:row>38</xdr:row>
      <xdr:rowOff>111512</xdr:rowOff>
    </xdr:from>
    <xdr:ext cx="6049537" cy="39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37171</xdr:colOff>
      <xdr:row>38</xdr:row>
      <xdr:rowOff>176560</xdr:rowOff>
    </xdr:from>
    <xdr:ext cx="5040000" cy="3893635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168178</xdr:colOff>
      <xdr:row>14</xdr:row>
      <xdr:rowOff>153428</xdr:rowOff>
    </xdr:from>
    <xdr:ext cx="4417933" cy="20831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387927</xdr:colOff>
      <xdr:row>7</xdr:row>
      <xdr:rowOff>133927</xdr:rowOff>
    </xdr:from>
    <xdr:ext cx="5760000" cy="314498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39</xdr:row>
      <xdr:rowOff>0</xdr:rowOff>
    </xdr:from>
    <xdr:ext cx="504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152400</xdr:rowOff>
    </xdr:from>
    <xdr:ext cx="12744450" cy="4743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209550</xdr:colOff>
      <xdr:row>8</xdr:row>
      <xdr:rowOff>57150</xdr:rowOff>
    </xdr:from>
    <xdr:ext cx="79248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18</xdr:col>
      <xdr:colOff>666750</xdr:colOff>
      <xdr:row>8</xdr:row>
      <xdr:rowOff>57150</xdr:rowOff>
    </xdr:from>
    <xdr:ext cx="7893600" cy="46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57150</xdr:colOff>
      <xdr:row>8</xdr:row>
      <xdr:rowOff>57150</xdr:rowOff>
    </xdr:from>
    <xdr:ext cx="6076950" cy="466725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17</xdr:col>
      <xdr:colOff>38100</xdr:colOff>
      <xdr:row>33</xdr:row>
      <xdr:rowOff>171450</xdr:rowOff>
    </xdr:from>
    <xdr:ext cx="9220200" cy="4648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221226</xdr:colOff>
      <xdr:row>25</xdr:row>
      <xdr:rowOff>24582</xdr:rowOff>
    </xdr:from>
    <xdr:ext cx="8570903" cy="49898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245806</xdr:colOff>
      <xdr:row>24</xdr:row>
      <xdr:rowOff>294968</xdr:rowOff>
    </xdr:from>
    <xdr:ext cx="8054710" cy="503903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712838</xdr:colOff>
      <xdr:row>8</xdr:row>
      <xdr:rowOff>73742</xdr:rowOff>
    </xdr:from>
    <xdr:ext cx="504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626341</xdr:colOff>
      <xdr:row>16</xdr:row>
      <xdr:rowOff>100299</xdr:rowOff>
    </xdr:from>
    <xdr:ext cx="6641037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221995</xdr:colOff>
      <xdr:row>16</xdr:row>
      <xdr:rowOff>99697</xdr:rowOff>
    </xdr:from>
    <xdr:ext cx="576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"/>
  <sheetViews>
    <sheetView showGridLines="0" zoomScale="40" zoomScaleNormal="40" workbookViewId="0">
      <selection activeCell="AE48" sqref="AE48"/>
    </sheetView>
  </sheetViews>
  <sheetFormatPr defaultRowHeight="14.4" x14ac:dyDescent="0.3"/>
  <cols>
    <col min="1" max="31" width="11" customWidth="1"/>
  </cols>
  <sheetData>
    <row r="1" spans="1:29" ht="55.05" customHeight="1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 spans="1:29" ht="19.95" customHeight="1" x14ac:dyDescent="0.3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 spans="1:29" ht="19.95" customHeight="1" x14ac:dyDescent="0.3">
      <c r="A3" s="16" t="s">
        <v>2</v>
      </c>
      <c r="B3" s="10"/>
      <c r="C3" s="10"/>
      <c r="D3" s="10"/>
      <c r="F3" s="12" t="s">
        <v>3</v>
      </c>
      <c r="G3" s="10"/>
      <c r="H3" s="10"/>
      <c r="I3" s="10"/>
      <c r="K3" s="24" t="s">
        <v>4</v>
      </c>
      <c r="L3" s="10"/>
      <c r="M3" s="10"/>
      <c r="N3" s="10"/>
      <c r="P3" s="18" t="s">
        <v>5</v>
      </c>
      <c r="Q3" s="10"/>
      <c r="R3" s="10"/>
      <c r="S3" s="10"/>
      <c r="U3" s="17" t="s">
        <v>6</v>
      </c>
      <c r="V3" s="10"/>
      <c r="W3" s="10"/>
      <c r="X3" s="10"/>
      <c r="Z3" s="14" t="s">
        <v>7</v>
      </c>
      <c r="AA3" s="10"/>
      <c r="AB3" s="10"/>
      <c r="AC3" s="10"/>
    </row>
    <row r="4" spans="1:29" ht="19.95" customHeight="1" x14ac:dyDescent="0.3">
      <c r="A4" s="10"/>
      <c r="B4" s="10"/>
      <c r="C4" s="10"/>
      <c r="D4" s="10"/>
      <c r="F4" s="10"/>
      <c r="G4" s="10"/>
      <c r="H4" s="10"/>
      <c r="I4" s="10"/>
      <c r="K4" s="10"/>
      <c r="L4" s="10"/>
      <c r="M4" s="10"/>
      <c r="N4" s="10"/>
      <c r="P4" s="10"/>
      <c r="Q4" s="10"/>
      <c r="R4" s="10"/>
      <c r="S4" s="10"/>
      <c r="U4" s="10"/>
      <c r="V4" s="10"/>
      <c r="W4" s="10"/>
      <c r="X4" s="10"/>
      <c r="Z4" s="10"/>
      <c r="AA4" s="10"/>
      <c r="AB4" s="10"/>
      <c r="AC4" s="10"/>
    </row>
    <row r="5" spans="1:29" ht="19.95" customHeight="1" x14ac:dyDescent="0.3">
      <c r="A5" s="21" t="s">
        <v>8</v>
      </c>
      <c r="B5" s="10"/>
      <c r="C5" s="10"/>
      <c r="D5" s="10"/>
      <c r="F5" s="15" t="s">
        <v>9</v>
      </c>
      <c r="G5" s="10"/>
      <c r="H5" s="10"/>
      <c r="I5" s="10"/>
      <c r="K5" s="11" t="s">
        <v>10</v>
      </c>
      <c r="L5" s="10"/>
      <c r="M5" s="10"/>
      <c r="N5" s="10"/>
      <c r="P5" s="25" t="s">
        <v>11</v>
      </c>
      <c r="Q5" s="10"/>
      <c r="R5" s="10"/>
      <c r="S5" s="10"/>
      <c r="U5" s="19" t="s">
        <v>12</v>
      </c>
      <c r="V5" s="10"/>
      <c r="W5" s="10"/>
      <c r="X5" s="10"/>
      <c r="Z5" s="13" t="s">
        <v>13</v>
      </c>
      <c r="AA5" s="10"/>
      <c r="AB5" s="10"/>
      <c r="AC5" s="10"/>
    </row>
    <row r="6" spans="1:29" ht="19.95" customHeight="1" x14ac:dyDescent="0.3">
      <c r="A6" s="10"/>
      <c r="B6" s="10"/>
      <c r="C6" s="10"/>
      <c r="D6" s="10"/>
      <c r="F6" s="10"/>
      <c r="G6" s="10"/>
      <c r="H6" s="10"/>
      <c r="I6" s="10"/>
      <c r="K6" s="10"/>
      <c r="L6" s="10"/>
      <c r="M6" s="10"/>
      <c r="N6" s="10"/>
      <c r="P6" s="10"/>
      <c r="Q6" s="10"/>
      <c r="R6" s="10"/>
      <c r="S6" s="10"/>
      <c r="U6" s="10"/>
      <c r="V6" s="10"/>
      <c r="W6" s="10"/>
      <c r="X6" s="10"/>
      <c r="Z6" s="10"/>
      <c r="AA6" s="10"/>
      <c r="AB6" s="10"/>
      <c r="AC6" s="10"/>
    </row>
    <row r="7" spans="1:29" ht="19.95" customHeight="1" x14ac:dyDescent="0.3">
      <c r="A7" s="10"/>
      <c r="B7" s="10"/>
      <c r="C7" s="10"/>
      <c r="D7" s="10"/>
      <c r="F7" s="10"/>
      <c r="G7" s="10"/>
      <c r="H7" s="10"/>
      <c r="I7" s="10"/>
      <c r="K7" s="10"/>
      <c r="L7" s="10"/>
      <c r="M7" s="10"/>
      <c r="N7" s="10"/>
      <c r="P7" s="10"/>
      <c r="Q7" s="10"/>
      <c r="R7" s="10"/>
      <c r="S7" s="10"/>
      <c r="U7" s="10"/>
      <c r="V7" s="10"/>
      <c r="W7" s="10"/>
      <c r="X7" s="10"/>
      <c r="Z7" s="10"/>
      <c r="AA7" s="10"/>
      <c r="AB7" s="10"/>
      <c r="AC7" s="10"/>
    </row>
    <row r="8" spans="1:29" ht="19.95" customHeight="1" x14ac:dyDescent="0.3">
      <c r="A8" s="10"/>
      <c r="B8" s="10"/>
      <c r="C8" s="10"/>
      <c r="D8" s="10"/>
      <c r="F8" s="10"/>
      <c r="G8" s="10"/>
      <c r="H8" s="10"/>
      <c r="I8" s="10"/>
      <c r="K8" s="10"/>
      <c r="L8" s="10"/>
      <c r="M8" s="10"/>
      <c r="N8" s="10"/>
      <c r="P8" s="10"/>
      <c r="Q8" s="10"/>
      <c r="R8" s="10"/>
      <c r="S8" s="10"/>
      <c r="U8" s="10"/>
      <c r="V8" s="10"/>
      <c r="W8" s="10"/>
      <c r="X8" s="10"/>
      <c r="Z8" s="10"/>
      <c r="AA8" s="10"/>
      <c r="AB8" s="10"/>
      <c r="AC8" s="10"/>
    </row>
    <row r="10" spans="1:29" ht="19.95" customHeight="1" x14ac:dyDescent="0.3">
      <c r="A10" s="23" t="s">
        <v>14</v>
      </c>
      <c r="B10" s="10"/>
      <c r="C10" s="10"/>
      <c r="D10" s="10"/>
      <c r="F10" s="17" t="s">
        <v>15</v>
      </c>
      <c r="G10" s="10"/>
      <c r="H10" s="10"/>
      <c r="I10" s="10"/>
      <c r="K10" s="22" t="s">
        <v>16</v>
      </c>
      <c r="L10" s="10"/>
      <c r="M10" s="10"/>
      <c r="N10" s="10"/>
      <c r="P10" s="24" t="s">
        <v>17</v>
      </c>
      <c r="Q10" s="10"/>
      <c r="R10" s="10"/>
      <c r="S10" s="10"/>
      <c r="U10" s="14" t="s">
        <v>18</v>
      </c>
      <c r="V10" s="10"/>
      <c r="W10" s="10"/>
      <c r="X10" s="10"/>
      <c r="Z10" s="12" t="s">
        <v>19</v>
      </c>
      <c r="AA10" s="10"/>
      <c r="AB10" s="10"/>
      <c r="AC10" s="10"/>
    </row>
    <row r="11" spans="1:29" ht="19.95" customHeight="1" x14ac:dyDescent="0.3">
      <c r="A11" s="10"/>
      <c r="B11" s="10"/>
      <c r="C11" s="10"/>
      <c r="D11" s="10"/>
      <c r="F11" s="10"/>
      <c r="G11" s="10"/>
      <c r="H11" s="10"/>
      <c r="I11" s="10"/>
      <c r="K11" s="10"/>
      <c r="L11" s="10"/>
      <c r="M11" s="10"/>
      <c r="N11" s="10"/>
      <c r="P11" s="10"/>
      <c r="Q11" s="10"/>
      <c r="R11" s="10"/>
      <c r="S11" s="10"/>
      <c r="U11" s="10"/>
      <c r="V11" s="10"/>
      <c r="W11" s="10"/>
      <c r="X11" s="10"/>
      <c r="Z11" s="10"/>
      <c r="AA11" s="10"/>
      <c r="AB11" s="10"/>
      <c r="AC11" s="10"/>
    </row>
    <row r="12" spans="1:29" ht="19.95" customHeight="1" x14ac:dyDescent="0.3">
      <c r="A12" s="9" t="s">
        <v>20</v>
      </c>
      <c r="B12" s="10"/>
      <c r="C12" s="10"/>
      <c r="D12" s="10"/>
      <c r="F12" s="19" t="s">
        <v>21</v>
      </c>
      <c r="G12" s="10"/>
      <c r="H12" s="10"/>
      <c r="I12" s="10"/>
      <c r="K12" s="20" t="s">
        <v>22</v>
      </c>
      <c r="L12" s="10"/>
      <c r="M12" s="10"/>
      <c r="N12" s="10"/>
      <c r="P12" s="11" t="s">
        <v>23</v>
      </c>
      <c r="Q12" s="10"/>
      <c r="R12" s="10"/>
      <c r="S12" s="10"/>
      <c r="U12" s="13" t="s">
        <v>24</v>
      </c>
      <c r="V12" s="10"/>
      <c r="W12" s="10"/>
      <c r="X12" s="10"/>
      <c r="Z12" s="15" t="s">
        <v>25</v>
      </c>
      <c r="AA12" s="10"/>
      <c r="AB12" s="10"/>
      <c r="AC12" s="10"/>
    </row>
    <row r="13" spans="1:29" ht="19.95" customHeight="1" x14ac:dyDescent="0.3">
      <c r="A13" s="10"/>
      <c r="B13" s="10"/>
      <c r="C13" s="10"/>
      <c r="D13" s="10"/>
      <c r="F13" s="10"/>
      <c r="G13" s="10"/>
      <c r="H13" s="10"/>
      <c r="I13" s="10"/>
      <c r="K13" s="10"/>
      <c r="L13" s="10"/>
      <c r="M13" s="10"/>
      <c r="N13" s="10"/>
      <c r="P13" s="10"/>
      <c r="Q13" s="10"/>
      <c r="R13" s="10"/>
      <c r="S13" s="10"/>
      <c r="U13" s="10"/>
      <c r="V13" s="10"/>
      <c r="W13" s="10"/>
      <c r="X13" s="10"/>
      <c r="Z13" s="10"/>
      <c r="AA13" s="10"/>
      <c r="AB13" s="10"/>
      <c r="AC13" s="10"/>
    </row>
    <row r="14" spans="1:29" ht="19.95" customHeight="1" x14ac:dyDescent="0.3">
      <c r="A14" s="10"/>
      <c r="B14" s="10"/>
      <c r="C14" s="10"/>
      <c r="D14" s="10"/>
      <c r="F14" s="10"/>
      <c r="G14" s="10"/>
      <c r="H14" s="10"/>
      <c r="I14" s="10"/>
      <c r="K14" s="10"/>
      <c r="L14" s="10"/>
      <c r="M14" s="10"/>
      <c r="N14" s="10"/>
      <c r="P14" s="10"/>
      <c r="Q14" s="10"/>
      <c r="R14" s="10"/>
      <c r="S14" s="10"/>
      <c r="U14" s="10"/>
      <c r="V14" s="10"/>
      <c r="W14" s="10"/>
      <c r="X14" s="10"/>
      <c r="Z14" s="10"/>
      <c r="AA14" s="10"/>
      <c r="AB14" s="10"/>
      <c r="AC14" s="10"/>
    </row>
  </sheetData>
  <mergeCells count="26">
    <mergeCell ref="A1:AC1"/>
    <mergeCell ref="A2:AC2"/>
    <mergeCell ref="K10:N11"/>
    <mergeCell ref="A10:D11"/>
    <mergeCell ref="U5:X8"/>
    <mergeCell ref="U10:X11"/>
    <mergeCell ref="K3:N4"/>
    <mergeCell ref="P5:S8"/>
    <mergeCell ref="P10:S11"/>
    <mergeCell ref="F10:I11"/>
    <mergeCell ref="A12:D14"/>
    <mergeCell ref="K5:N8"/>
    <mergeCell ref="F3:I4"/>
    <mergeCell ref="U12:X14"/>
    <mergeCell ref="Z3:AC4"/>
    <mergeCell ref="F5:I8"/>
    <mergeCell ref="P12:S14"/>
    <mergeCell ref="A3:D4"/>
    <mergeCell ref="U3:X4"/>
    <mergeCell ref="Z5:AC8"/>
    <mergeCell ref="Z10:AC11"/>
    <mergeCell ref="P3:S4"/>
    <mergeCell ref="F12:I14"/>
    <mergeCell ref="Z12:AC14"/>
    <mergeCell ref="K12:N14"/>
    <mergeCell ref="A5:D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"/>
  <sheetViews>
    <sheetView workbookViewId="0"/>
  </sheetViews>
  <sheetFormatPr defaultRowHeight="14.4" x14ac:dyDescent="0.3"/>
  <sheetData>
    <row r="1" spans="1:26" x14ac:dyDescent="0.3">
      <c r="A1" t="s">
        <v>26</v>
      </c>
      <c r="B1" t="s">
        <v>27</v>
      </c>
      <c r="C1" t="s">
        <v>26</v>
      </c>
      <c r="D1" t="s">
        <v>28</v>
      </c>
      <c r="E1" t="s">
        <v>29</v>
      </c>
      <c r="F1" t="s">
        <v>27</v>
      </c>
      <c r="G1" t="s">
        <v>29</v>
      </c>
      <c r="H1" t="s">
        <v>28</v>
      </c>
      <c r="I1" t="s">
        <v>30</v>
      </c>
      <c r="J1" t="s">
        <v>31</v>
      </c>
      <c r="K1" t="s">
        <v>32</v>
      </c>
      <c r="L1" t="s">
        <v>31</v>
      </c>
      <c r="M1" t="s">
        <v>33</v>
      </c>
      <c r="N1" t="s">
        <v>27</v>
      </c>
      <c r="O1" t="s">
        <v>28</v>
      </c>
      <c r="P1" t="s">
        <v>34</v>
      </c>
      <c r="Q1" t="s">
        <v>27</v>
      </c>
      <c r="R1" t="s">
        <v>30</v>
      </c>
      <c r="S1" t="s">
        <v>27</v>
      </c>
      <c r="T1" t="s">
        <v>26</v>
      </c>
      <c r="U1" t="s">
        <v>35</v>
      </c>
      <c r="V1" t="s">
        <v>32</v>
      </c>
      <c r="W1" t="s">
        <v>28</v>
      </c>
      <c r="X1" t="s">
        <v>36</v>
      </c>
      <c r="Y1" t="s">
        <v>27</v>
      </c>
      <c r="Z1" t="s">
        <v>28</v>
      </c>
    </row>
    <row r="2" spans="1:26" x14ac:dyDescent="0.3">
      <c r="A2" t="s">
        <v>37</v>
      </c>
      <c r="B2">
        <v>3173.6</v>
      </c>
      <c r="C2" t="s">
        <v>37</v>
      </c>
      <c r="D2">
        <v>1535.58</v>
      </c>
      <c r="E2" t="s">
        <v>38</v>
      </c>
      <c r="F2">
        <v>3105.68</v>
      </c>
      <c r="G2" t="s">
        <v>38</v>
      </c>
      <c r="H2">
        <v>1496.65</v>
      </c>
      <c r="I2" t="s">
        <v>39</v>
      </c>
      <c r="J2">
        <v>9917</v>
      </c>
      <c r="K2" t="s">
        <v>40</v>
      </c>
      <c r="L2">
        <v>16814</v>
      </c>
      <c r="M2" t="s">
        <v>41</v>
      </c>
      <c r="N2">
        <v>579.19000000000005</v>
      </c>
      <c r="O2">
        <v>277.95</v>
      </c>
      <c r="P2" t="s">
        <v>42</v>
      </c>
      <c r="Q2">
        <v>1580.35</v>
      </c>
      <c r="R2" t="s">
        <v>39</v>
      </c>
      <c r="S2">
        <v>2500.4899999999998</v>
      </c>
      <c r="T2" t="s">
        <v>37</v>
      </c>
      <c r="U2">
        <v>1438.2</v>
      </c>
      <c r="V2" t="s">
        <v>40</v>
      </c>
      <c r="W2">
        <v>2061.31</v>
      </c>
      <c r="X2">
        <v>2024</v>
      </c>
      <c r="Y2">
        <v>6.3029999999999999</v>
      </c>
      <c r="Z2">
        <v>3.0550000000000002</v>
      </c>
    </row>
    <row r="3" spans="1:26" x14ac:dyDescent="0.3">
      <c r="A3" t="s">
        <v>22</v>
      </c>
      <c r="B3">
        <v>3177.51</v>
      </c>
      <c r="C3" t="s">
        <v>22</v>
      </c>
      <c r="D3">
        <v>1541.26</v>
      </c>
      <c r="E3" t="s">
        <v>43</v>
      </c>
      <c r="F3">
        <v>3190.64</v>
      </c>
      <c r="G3" t="s">
        <v>43</v>
      </c>
      <c r="H3">
        <v>1546.38</v>
      </c>
      <c r="I3" t="s">
        <v>44</v>
      </c>
      <c r="J3">
        <v>10023</v>
      </c>
      <c r="K3" t="s">
        <v>45</v>
      </c>
      <c r="L3">
        <v>16657</v>
      </c>
      <c r="M3" t="s">
        <v>46</v>
      </c>
      <c r="N3">
        <v>489.47</v>
      </c>
      <c r="O3">
        <v>236.09</v>
      </c>
      <c r="P3" t="s">
        <v>47</v>
      </c>
      <c r="Q3">
        <v>1527.47</v>
      </c>
      <c r="R3" t="s">
        <v>44</v>
      </c>
      <c r="S3">
        <v>2557.94</v>
      </c>
      <c r="T3" t="s">
        <v>22</v>
      </c>
      <c r="U3">
        <v>1436.42</v>
      </c>
      <c r="V3" t="s">
        <v>45</v>
      </c>
      <c r="W3">
        <v>2025.15</v>
      </c>
      <c r="X3">
        <v>2025</v>
      </c>
      <c r="Y3">
        <v>6.3280000000000003</v>
      </c>
      <c r="Z3">
        <v>3.0609999999999999</v>
      </c>
    </row>
    <row r="4" spans="1:26" x14ac:dyDescent="0.3">
      <c r="A4" t="s">
        <v>48</v>
      </c>
      <c r="B4">
        <v>3159.64</v>
      </c>
      <c r="C4" t="s">
        <v>48</v>
      </c>
      <c r="D4">
        <v>1535.76</v>
      </c>
      <c r="E4" t="s">
        <v>49</v>
      </c>
      <c r="F4">
        <v>3136.73</v>
      </c>
      <c r="G4" t="s">
        <v>49</v>
      </c>
      <c r="H4">
        <v>1521.14</v>
      </c>
      <c r="I4" t="s">
        <v>50</v>
      </c>
      <c r="J4">
        <v>9890</v>
      </c>
      <c r="K4" t="s">
        <v>51</v>
      </c>
      <c r="L4">
        <v>16529</v>
      </c>
      <c r="M4" t="s">
        <v>52</v>
      </c>
      <c r="N4">
        <v>545.21</v>
      </c>
      <c r="O4">
        <v>263.58</v>
      </c>
      <c r="P4" t="s">
        <v>53</v>
      </c>
      <c r="Q4">
        <v>1599.73</v>
      </c>
      <c r="R4" t="s">
        <v>50</v>
      </c>
      <c r="S4">
        <v>2486.1999999999998</v>
      </c>
      <c r="T4" t="s">
        <v>48</v>
      </c>
      <c r="U4">
        <v>1424.25</v>
      </c>
      <c r="V4" t="s">
        <v>51</v>
      </c>
      <c r="W4">
        <v>2029.54</v>
      </c>
    </row>
    <row r="5" spans="1:26" x14ac:dyDescent="0.3">
      <c r="A5" t="s">
        <v>54</v>
      </c>
      <c r="B5">
        <v>3120.33</v>
      </c>
      <c r="C5" t="s">
        <v>54</v>
      </c>
      <c r="D5">
        <v>1503.42</v>
      </c>
      <c r="E5" t="s">
        <v>55</v>
      </c>
      <c r="F5">
        <v>3198.01</v>
      </c>
      <c r="G5" t="s">
        <v>55</v>
      </c>
      <c r="H5">
        <v>1551.84</v>
      </c>
      <c r="I5" t="s">
        <v>56</v>
      </c>
      <c r="J5">
        <v>10199</v>
      </c>
      <c r="M5" t="s">
        <v>57</v>
      </c>
      <c r="N5">
        <v>528.02</v>
      </c>
      <c r="O5">
        <v>255.68</v>
      </c>
      <c r="P5" t="s">
        <v>58</v>
      </c>
      <c r="Q5">
        <v>1595.53</v>
      </c>
      <c r="R5" t="s">
        <v>56</v>
      </c>
      <c r="S5">
        <v>2575.92</v>
      </c>
      <c r="T5" t="s">
        <v>54</v>
      </c>
      <c r="U5">
        <v>1421.49</v>
      </c>
    </row>
    <row r="6" spans="1:26" x14ac:dyDescent="0.3">
      <c r="I6" t="s">
        <v>59</v>
      </c>
      <c r="J6">
        <v>9971</v>
      </c>
      <c r="M6" t="s">
        <v>60</v>
      </c>
      <c r="N6">
        <v>529.1</v>
      </c>
      <c r="O6">
        <v>256.8</v>
      </c>
      <c r="P6" t="s">
        <v>61</v>
      </c>
      <c r="Q6">
        <v>1613.87</v>
      </c>
      <c r="R6" t="s">
        <v>59</v>
      </c>
      <c r="S6">
        <v>2510.5100000000002</v>
      </c>
    </row>
    <row r="7" spans="1:26" x14ac:dyDescent="0.3">
      <c r="M7" t="s">
        <v>62</v>
      </c>
      <c r="N7">
        <v>481.68</v>
      </c>
      <c r="O7">
        <v>229.81</v>
      </c>
      <c r="P7" t="s">
        <v>63</v>
      </c>
      <c r="Q7">
        <v>1538.8</v>
      </c>
    </row>
    <row r="8" spans="1:26" x14ac:dyDescent="0.3">
      <c r="M8" t="s">
        <v>64</v>
      </c>
      <c r="N8">
        <v>531.82000000000005</v>
      </c>
      <c r="O8">
        <v>264.5</v>
      </c>
      <c r="P8" t="s">
        <v>65</v>
      </c>
      <c r="Q8">
        <v>1580.72</v>
      </c>
    </row>
    <row r="9" spans="1:26" x14ac:dyDescent="0.3">
      <c r="M9" t="s">
        <v>66</v>
      </c>
      <c r="N9">
        <v>532.47</v>
      </c>
      <c r="O9">
        <v>257.92</v>
      </c>
      <c r="P9" t="s">
        <v>67</v>
      </c>
      <c r="Q9">
        <v>1594.6</v>
      </c>
    </row>
    <row r="10" spans="1:26" x14ac:dyDescent="0.3">
      <c r="M10" t="s">
        <v>68</v>
      </c>
      <c r="N10">
        <v>516.42999999999995</v>
      </c>
      <c r="O10">
        <v>247.66</v>
      </c>
    </row>
    <row r="11" spans="1:26" x14ac:dyDescent="0.3">
      <c r="M11" t="s">
        <v>69</v>
      </c>
      <c r="N11">
        <v>534.44000000000005</v>
      </c>
      <c r="O11">
        <v>265.3</v>
      </c>
    </row>
    <row r="12" spans="1:26" x14ac:dyDescent="0.3">
      <c r="M12" t="s">
        <v>70</v>
      </c>
      <c r="N12">
        <v>532.88</v>
      </c>
      <c r="O12">
        <v>251.81</v>
      </c>
    </row>
    <row r="13" spans="1:26" x14ac:dyDescent="0.3">
      <c r="M13" t="s">
        <v>71</v>
      </c>
      <c r="N13">
        <v>527.28</v>
      </c>
      <c r="O13">
        <v>253.92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8"/>
  <sheetViews>
    <sheetView showGridLines="0" zoomScale="60" workbookViewId="0">
      <selection activeCell="M10" sqref="M10"/>
    </sheetView>
  </sheetViews>
  <sheetFormatPr defaultRowHeight="14.4" x14ac:dyDescent="0.3"/>
  <cols>
    <col min="1" max="1" width="20" customWidth="1"/>
    <col min="2" max="2" width="14" customWidth="1"/>
    <col min="3" max="4" width="16" customWidth="1"/>
    <col min="5" max="5" width="14" customWidth="1"/>
    <col min="6" max="7" width="16" customWidth="1"/>
    <col min="8" max="9" width="15" customWidth="1"/>
    <col min="10" max="29" width="13" customWidth="1"/>
  </cols>
  <sheetData>
    <row r="1" spans="1:26" ht="49.95" customHeight="1" x14ac:dyDescent="0.3">
      <c r="A1" s="28" t="s">
        <v>72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9.95" customHeight="1" x14ac:dyDescent="0.3">
      <c r="A2" s="27" t="s">
        <v>73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2.05" customHeight="1" x14ac:dyDescent="0.3">
      <c r="A3" s="24" t="s">
        <v>74</v>
      </c>
      <c r="B3" s="10"/>
      <c r="C3" s="10"/>
      <c r="E3" s="16" t="s">
        <v>75</v>
      </c>
      <c r="F3" s="10"/>
      <c r="G3" s="10"/>
      <c r="I3" s="17" t="s">
        <v>76</v>
      </c>
      <c r="J3" s="10"/>
      <c r="K3" s="10"/>
      <c r="M3" s="22" t="s">
        <v>77</v>
      </c>
      <c r="N3" s="10"/>
      <c r="O3" s="10"/>
      <c r="Q3" s="24" t="s">
        <v>78</v>
      </c>
      <c r="R3" s="10"/>
      <c r="S3" s="10"/>
      <c r="U3" s="18" t="s">
        <v>79</v>
      </c>
      <c r="V3" s="10"/>
      <c r="W3" s="10"/>
    </row>
    <row r="4" spans="1:26" ht="22.05" customHeight="1" x14ac:dyDescent="0.3">
      <c r="A4" s="10"/>
      <c r="B4" s="10"/>
      <c r="C4" s="10"/>
      <c r="E4" s="10"/>
      <c r="F4" s="10"/>
      <c r="G4" s="10"/>
      <c r="I4" s="10"/>
      <c r="J4" s="10"/>
      <c r="K4" s="10"/>
      <c r="M4" s="10"/>
      <c r="N4" s="10"/>
      <c r="O4" s="10"/>
      <c r="Q4" s="10"/>
      <c r="R4" s="10"/>
      <c r="S4" s="10"/>
      <c r="U4" s="10"/>
      <c r="V4" s="10"/>
      <c r="W4" s="10"/>
    </row>
    <row r="5" spans="1:26" ht="22.05" customHeight="1" x14ac:dyDescent="0.3">
      <c r="A5" s="11" t="s">
        <v>13</v>
      </c>
      <c r="B5" s="10"/>
      <c r="C5" s="10"/>
      <c r="E5" s="21" t="s">
        <v>80</v>
      </c>
      <c r="F5" s="10"/>
      <c r="G5" s="10"/>
      <c r="I5" s="19" t="s">
        <v>81</v>
      </c>
      <c r="J5" s="10"/>
      <c r="K5" s="10"/>
      <c r="M5" s="20" t="s">
        <v>21</v>
      </c>
      <c r="N5" s="10"/>
      <c r="O5" s="10"/>
      <c r="Q5" s="11" t="s">
        <v>82</v>
      </c>
      <c r="R5" s="10"/>
      <c r="S5" s="10"/>
      <c r="U5" s="25" t="s">
        <v>11</v>
      </c>
      <c r="V5" s="10"/>
      <c r="W5" s="10"/>
    </row>
    <row r="6" spans="1:26" ht="22.05" customHeight="1" x14ac:dyDescent="0.3">
      <c r="A6" s="10"/>
      <c r="B6" s="10"/>
      <c r="C6" s="10"/>
      <c r="E6" s="10"/>
      <c r="F6" s="10"/>
      <c r="G6" s="10"/>
      <c r="I6" s="10"/>
      <c r="J6" s="10"/>
      <c r="K6" s="10"/>
      <c r="M6" s="10"/>
      <c r="N6" s="10"/>
      <c r="O6" s="10"/>
      <c r="Q6" s="10"/>
      <c r="R6" s="10"/>
      <c r="S6" s="10"/>
      <c r="U6" s="10"/>
      <c r="V6" s="10"/>
      <c r="W6" s="10"/>
    </row>
    <row r="7" spans="1:26" ht="22.05" customHeight="1" x14ac:dyDescent="0.3">
      <c r="A7" s="10"/>
      <c r="B7" s="10"/>
      <c r="C7" s="10"/>
      <c r="E7" s="10"/>
      <c r="F7" s="10"/>
      <c r="G7" s="10"/>
      <c r="I7" s="10"/>
      <c r="J7" s="10"/>
      <c r="K7" s="10"/>
      <c r="M7" s="10"/>
      <c r="N7" s="10"/>
      <c r="O7" s="10"/>
      <c r="Q7" s="10"/>
      <c r="R7" s="10"/>
      <c r="S7" s="10"/>
      <c r="U7" s="10"/>
      <c r="V7" s="10"/>
      <c r="W7" s="10"/>
    </row>
    <row r="9" spans="1:26" ht="25.95" customHeight="1" x14ac:dyDescent="0.3">
      <c r="A9" s="29" t="s">
        <v>83</v>
      </c>
      <c r="B9" s="10"/>
      <c r="C9" s="10"/>
      <c r="D9" s="10"/>
      <c r="E9" s="10"/>
      <c r="F9" s="10"/>
      <c r="G9" s="10"/>
      <c r="H9" s="10"/>
      <c r="I9" s="10"/>
      <c r="K9" s="29" t="s">
        <v>95</v>
      </c>
      <c r="L9" s="10"/>
      <c r="M9" s="10"/>
      <c r="N9" s="10"/>
      <c r="O9" s="10"/>
      <c r="P9" s="10"/>
      <c r="Q9" s="10"/>
      <c r="R9" s="10"/>
    </row>
    <row r="10" spans="1:26" ht="28.05" customHeight="1" x14ac:dyDescent="0.3">
      <c r="A10" s="1" t="s">
        <v>26</v>
      </c>
      <c r="B10" s="1" t="s">
        <v>31</v>
      </c>
      <c r="C10" s="1" t="s">
        <v>84</v>
      </c>
      <c r="D10" s="1" t="s">
        <v>85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90</v>
      </c>
      <c r="K10" s="1" t="s">
        <v>29</v>
      </c>
      <c r="L10" s="1" t="s">
        <v>31</v>
      </c>
      <c r="M10" s="1" t="s">
        <v>84</v>
      </c>
      <c r="N10" s="1" t="s">
        <v>85</v>
      </c>
      <c r="O10" s="1" t="s">
        <v>88</v>
      </c>
      <c r="P10" s="1" t="s">
        <v>87</v>
      </c>
      <c r="Q10" s="1" t="s">
        <v>90</v>
      </c>
      <c r="R10" s="1" t="s">
        <v>96</v>
      </c>
    </row>
    <row r="11" spans="1:26" ht="22.05" customHeight="1" x14ac:dyDescent="0.3">
      <c r="A11" s="2" t="s">
        <v>37</v>
      </c>
      <c r="B11" s="3">
        <v>12476</v>
      </c>
      <c r="C11" s="3">
        <v>3173.6</v>
      </c>
      <c r="D11" s="3">
        <v>1438.2</v>
      </c>
      <c r="E11" s="3">
        <v>1735.4</v>
      </c>
      <c r="F11" s="3">
        <v>199.83</v>
      </c>
      <c r="G11" s="3">
        <v>1535.58</v>
      </c>
      <c r="H11" s="3">
        <v>317938</v>
      </c>
      <c r="I11" s="4" t="s">
        <v>91</v>
      </c>
      <c r="K11" s="2" t="s">
        <v>38</v>
      </c>
      <c r="L11" s="3">
        <v>12421</v>
      </c>
      <c r="M11" s="3">
        <v>3105.68</v>
      </c>
      <c r="N11" s="3">
        <v>1414.7</v>
      </c>
      <c r="O11" s="3">
        <v>1496.65</v>
      </c>
      <c r="P11" s="3">
        <v>194.34</v>
      </c>
      <c r="Q11" s="4" t="s">
        <v>97</v>
      </c>
      <c r="R11" s="4" t="s">
        <v>98</v>
      </c>
    </row>
    <row r="12" spans="1:26" ht="22.05" customHeight="1" x14ac:dyDescent="0.3">
      <c r="A12" s="5" t="s">
        <v>22</v>
      </c>
      <c r="B12" s="6">
        <v>12575</v>
      </c>
      <c r="C12" s="6">
        <v>3177.51</v>
      </c>
      <c r="D12" s="6">
        <v>1436.42</v>
      </c>
      <c r="E12" s="6">
        <v>1741.09</v>
      </c>
      <c r="F12" s="6">
        <v>199.83</v>
      </c>
      <c r="G12" s="6">
        <v>1541.26</v>
      </c>
      <c r="H12" s="6">
        <v>320377</v>
      </c>
      <c r="I12" s="7" t="s">
        <v>92</v>
      </c>
      <c r="K12" s="5" t="s">
        <v>43</v>
      </c>
      <c r="L12" s="6">
        <v>12559</v>
      </c>
      <c r="M12" s="6">
        <v>3190.64</v>
      </c>
      <c r="N12" s="6">
        <v>1444.64</v>
      </c>
      <c r="O12" s="6">
        <v>1546.38</v>
      </c>
      <c r="P12" s="6">
        <v>199.62</v>
      </c>
      <c r="Q12" s="7" t="s">
        <v>99</v>
      </c>
      <c r="R12" s="7" t="s">
        <v>100</v>
      </c>
    </row>
    <row r="13" spans="1:26" ht="22.05" customHeight="1" x14ac:dyDescent="0.3">
      <c r="A13" s="2" t="s">
        <v>48</v>
      </c>
      <c r="B13" s="3">
        <v>12527</v>
      </c>
      <c r="C13" s="3">
        <v>3159.64</v>
      </c>
      <c r="D13" s="3">
        <v>1424.25</v>
      </c>
      <c r="E13" s="3">
        <v>1735.38</v>
      </c>
      <c r="F13" s="3">
        <v>199.63</v>
      </c>
      <c r="G13" s="3">
        <v>1535.76</v>
      </c>
      <c r="H13" s="3">
        <v>318105</v>
      </c>
      <c r="I13" s="4" t="s">
        <v>93</v>
      </c>
      <c r="K13" s="2" t="s">
        <v>49</v>
      </c>
      <c r="L13" s="3">
        <v>12415</v>
      </c>
      <c r="M13" s="3">
        <v>3136.73</v>
      </c>
      <c r="N13" s="3">
        <v>1417.53</v>
      </c>
      <c r="O13" s="3">
        <v>1521.14</v>
      </c>
      <c r="P13" s="3">
        <v>198.06</v>
      </c>
      <c r="Q13" s="4" t="s">
        <v>101</v>
      </c>
      <c r="R13" s="4" t="s">
        <v>102</v>
      </c>
    </row>
    <row r="14" spans="1:26" ht="22.05" customHeight="1" x14ac:dyDescent="0.3">
      <c r="A14" s="5" t="s">
        <v>54</v>
      </c>
      <c r="B14" s="6">
        <v>12422</v>
      </c>
      <c r="C14" s="6">
        <v>3120.33</v>
      </c>
      <c r="D14" s="6">
        <v>1421.49</v>
      </c>
      <c r="E14" s="6">
        <v>1698.84</v>
      </c>
      <c r="F14" s="6">
        <v>195.42</v>
      </c>
      <c r="G14" s="6">
        <v>1503.42</v>
      </c>
      <c r="H14" s="6">
        <v>315770</v>
      </c>
      <c r="I14" s="7" t="s">
        <v>94</v>
      </c>
      <c r="K14" s="5" t="s">
        <v>55</v>
      </c>
      <c r="L14" s="6">
        <v>12605</v>
      </c>
      <c r="M14" s="6">
        <v>3198.01</v>
      </c>
      <c r="N14" s="6">
        <v>1443.48</v>
      </c>
      <c r="O14" s="6">
        <v>1551.84</v>
      </c>
      <c r="P14" s="6">
        <v>202.69</v>
      </c>
      <c r="Q14" s="7" t="s">
        <v>103</v>
      </c>
      <c r="R14" s="7" t="s">
        <v>100</v>
      </c>
    </row>
    <row r="17" spans="1:13" ht="25.95" customHeight="1" x14ac:dyDescent="0.3">
      <c r="A17" s="30" t="s">
        <v>104</v>
      </c>
      <c r="B17" s="30"/>
      <c r="C17" s="30"/>
      <c r="D17" s="30"/>
      <c r="E17" s="30"/>
      <c r="F17" s="30"/>
      <c r="H17" s="29" t="s">
        <v>113</v>
      </c>
      <c r="I17" s="10"/>
      <c r="J17" s="10"/>
      <c r="K17" s="10"/>
      <c r="L17" s="10"/>
      <c r="M17" s="10"/>
    </row>
    <row r="18" spans="1:13" ht="28.05" customHeight="1" x14ac:dyDescent="0.3">
      <c r="A18" s="1" t="s">
        <v>105</v>
      </c>
      <c r="B18" s="1" t="s">
        <v>31</v>
      </c>
      <c r="C18" s="1" t="s">
        <v>106</v>
      </c>
      <c r="D18" s="1" t="s">
        <v>84</v>
      </c>
      <c r="E18" s="1" t="s">
        <v>88</v>
      </c>
      <c r="F18" s="1" t="s">
        <v>90</v>
      </c>
      <c r="H18" s="1" t="s">
        <v>114</v>
      </c>
      <c r="I18" s="1" t="s">
        <v>31</v>
      </c>
      <c r="J18" s="1" t="s">
        <v>106</v>
      </c>
      <c r="K18" s="1" t="s">
        <v>84</v>
      </c>
      <c r="L18" s="1" t="s">
        <v>88</v>
      </c>
      <c r="M18" s="1" t="s">
        <v>90</v>
      </c>
    </row>
    <row r="19" spans="1:13" ht="22.05" customHeight="1" x14ac:dyDescent="0.3">
      <c r="A19" s="2" t="s">
        <v>39</v>
      </c>
      <c r="B19" s="3">
        <v>9917</v>
      </c>
      <c r="C19" s="4" t="s">
        <v>107</v>
      </c>
      <c r="D19" s="3">
        <v>2500.4899999999998</v>
      </c>
      <c r="E19" s="3">
        <v>1209.81</v>
      </c>
      <c r="F19" s="4" t="s">
        <v>13</v>
      </c>
      <c r="H19" s="2" t="s">
        <v>40</v>
      </c>
      <c r="I19" s="3">
        <v>16814</v>
      </c>
      <c r="J19" s="4" t="s">
        <v>82</v>
      </c>
      <c r="K19" s="3">
        <v>4250.8</v>
      </c>
      <c r="L19" s="3">
        <v>2061.31</v>
      </c>
      <c r="M19" s="4" t="s">
        <v>115</v>
      </c>
    </row>
    <row r="20" spans="1:13" ht="22.05" customHeight="1" x14ac:dyDescent="0.3">
      <c r="A20" s="5" t="s">
        <v>44</v>
      </c>
      <c r="B20" s="6">
        <v>10023</v>
      </c>
      <c r="C20" s="7" t="s">
        <v>108</v>
      </c>
      <c r="D20" s="6">
        <v>2557.94</v>
      </c>
      <c r="E20" s="6">
        <v>1236.83</v>
      </c>
      <c r="F20" s="7" t="s">
        <v>13</v>
      </c>
      <c r="H20" s="5" t="s">
        <v>45</v>
      </c>
      <c r="I20" s="6">
        <v>16657</v>
      </c>
      <c r="J20" s="7" t="s">
        <v>116</v>
      </c>
      <c r="K20" s="6">
        <v>4206.54</v>
      </c>
      <c r="L20" s="6">
        <v>2025.15</v>
      </c>
      <c r="M20" s="7" t="s">
        <v>117</v>
      </c>
    </row>
    <row r="21" spans="1:13" ht="22.05" customHeight="1" x14ac:dyDescent="0.3">
      <c r="A21" s="2" t="s">
        <v>50</v>
      </c>
      <c r="B21" s="3">
        <v>9890</v>
      </c>
      <c r="C21" s="4" t="s">
        <v>107</v>
      </c>
      <c r="D21" s="3">
        <v>2486.1999999999998</v>
      </c>
      <c r="E21" s="3">
        <v>1204.22</v>
      </c>
      <c r="F21" s="4" t="s">
        <v>13</v>
      </c>
      <c r="H21" s="2" t="s">
        <v>51</v>
      </c>
      <c r="I21" s="3">
        <v>16529</v>
      </c>
      <c r="J21" s="4" t="s">
        <v>118</v>
      </c>
      <c r="K21" s="3">
        <v>4173.7299999999996</v>
      </c>
      <c r="L21" s="3">
        <v>2029.54</v>
      </c>
      <c r="M21" s="4" t="s">
        <v>119</v>
      </c>
    </row>
    <row r="22" spans="1:13" ht="22.05" customHeight="1" x14ac:dyDescent="0.3">
      <c r="A22" s="5" t="s">
        <v>56</v>
      </c>
      <c r="B22" s="6">
        <v>10199</v>
      </c>
      <c r="C22" s="7" t="s">
        <v>109</v>
      </c>
      <c r="D22" s="6">
        <v>2575.92</v>
      </c>
      <c r="E22" s="6">
        <v>1240.9100000000001</v>
      </c>
      <c r="F22" s="7" t="s">
        <v>110</v>
      </c>
    </row>
    <row r="23" spans="1:13" x14ac:dyDescent="0.3">
      <c r="A23" s="2" t="s">
        <v>59</v>
      </c>
      <c r="B23" s="3">
        <v>9971</v>
      </c>
      <c r="C23" s="4" t="s">
        <v>111</v>
      </c>
      <c r="D23" s="3">
        <v>2510.5100000000002</v>
      </c>
      <c r="E23" s="3">
        <v>1224.24</v>
      </c>
      <c r="F23" s="4" t="s">
        <v>112</v>
      </c>
    </row>
    <row r="25" spans="1:13" ht="25.95" customHeight="1" x14ac:dyDescent="0.3"/>
    <row r="26" spans="1:13" ht="28.05" customHeight="1" x14ac:dyDescent="0.3"/>
    <row r="27" spans="1:13" ht="22.05" customHeight="1" x14ac:dyDescent="0.3"/>
    <row r="28" spans="1:13" ht="22.05" customHeight="1" x14ac:dyDescent="0.3"/>
    <row r="29" spans="1:13" ht="22.05" customHeight="1" x14ac:dyDescent="0.3"/>
    <row r="30" spans="1:13" ht="22.05" customHeight="1" x14ac:dyDescent="0.3"/>
    <row r="31" spans="1:13" ht="22.05" customHeight="1" x14ac:dyDescent="0.3"/>
    <row r="34" ht="25.95" customHeight="1" x14ac:dyDescent="0.3"/>
    <row r="35" ht="28.05" customHeight="1" x14ac:dyDescent="0.3"/>
    <row r="36" ht="22.05" customHeight="1" x14ac:dyDescent="0.3"/>
    <row r="37" ht="22.05" customHeight="1" x14ac:dyDescent="0.3"/>
    <row r="38" ht="22.05" customHeight="1" x14ac:dyDescent="0.3"/>
  </sheetData>
  <mergeCells count="18">
    <mergeCell ref="A9:I9"/>
    <mergeCell ref="H17:M17"/>
    <mergeCell ref="A2:Z2"/>
    <mergeCell ref="A3:C4"/>
    <mergeCell ref="K9:R9"/>
    <mergeCell ref="E3:G4"/>
    <mergeCell ref="I3:K4"/>
    <mergeCell ref="U3:W4"/>
    <mergeCell ref="A5:C7"/>
    <mergeCell ref="A17:F17"/>
    <mergeCell ref="M3:O4"/>
    <mergeCell ref="E5:G7"/>
    <mergeCell ref="Q3:S4"/>
    <mergeCell ref="A1:Z1"/>
    <mergeCell ref="Q5:S7"/>
    <mergeCell ref="U5:W7"/>
    <mergeCell ref="M5:O7"/>
    <mergeCell ref="I5:K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"/>
  <sheetViews>
    <sheetView showGridLines="0" zoomScale="40" zoomScaleNormal="100" workbookViewId="0">
      <selection activeCell="A2" sqref="A2:AD2"/>
    </sheetView>
  </sheetViews>
  <sheetFormatPr defaultRowHeight="14.4" x14ac:dyDescent="0.3"/>
  <cols>
    <col min="1" max="34" width="11" customWidth="1"/>
  </cols>
  <sheetData>
    <row r="1" spans="1:30" ht="49.95" customHeight="1" x14ac:dyDescent="0.3">
      <c r="A1" s="28" t="s">
        <v>120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9.95" customHeight="1" x14ac:dyDescent="0.3">
      <c r="A2" s="27" t="s">
        <v>121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22.05" customHeight="1" x14ac:dyDescent="0.3">
      <c r="A3" s="16" t="s">
        <v>122</v>
      </c>
      <c r="B3" s="10"/>
      <c r="C3" s="10"/>
      <c r="D3" s="10"/>
      <c r="F3" s="23" t="s">
        <v>123</v>
      </c>
      <c r="G3" s="10"/>
      <c r="H3" s="10"/>
      <c r="I3" s="10"/>
      <c r="K3" s="24" t="s">
        <v>124</v>
      </c>
      <c r="L3" s="10"/>
      <c r="M3" s="10"/>
      <c r="N3" s="10"/>
      <c r="P3" s="17" t="s">
        <v>125</v>
      </c>
      <c r="Q3" s="10"/>
      <c r="R3" s="10"/>
      <c r="S3" s="10"/>
      <c r="U3" s="14" t="s">
        <v>126</v>
      </c>
      <c r="V3" s="10"/>
      <c r="W3" s="10"/>
      <c r="X3" s="10"/>
      <c r="Z3" s="22" t="s">
        <v>127</v>
      </c>
      <c r="AA3" s="10"/>
      <c r="AB3" s="10"/>
      <c r="AC3" s="10"/>
    </row>
    <row r="4" spans="1:30" ht="22.05" customHeight="1" x14ac:dyDescent="0.3">
      <c r="A4" s="10"/>
      <c r="B4" s="10"/>
      <c r="C4" s="10"/>
      <c r="D4" s="10"/>
      <c r="F4" s="10"/>
      <c r="G4" s="10"/>
      <c r="H4" s="10"/>
      <c r="I4" s="10"/>
      <c r="K4" s="10"/>
      <c r="L4" s="10"/>
      <c r="M4" s="10"/>
      <c r="N4" s="10"/>
      <c r="P4" s="10"/>
      <c r="Q4" s="10"/>
      <c r="R4" s="10"/>
      <c r="S4" s="10"/>
      <c r="U4" s="10"/>
      <c r="V4" s="10"/>
      <c r="W4" s="10"/>
      <c r="X4" s="10"/>
      <c r="Z4" s="10"/>
      <c r="AA4" s="10"/>
      <c r="AB4" s="10"/>
      <c r="AC4" s="10"/>
    </row>
    <row r="5" spans="1:30" ht="22.05" customHeight="1" x14ac:dyDescent="0.3">
      <c r="A5" s="21" t="s">
        <v>128</v>
      </c>
      <c r="B5" s="10"/>
      <c r="C5" s="10"/>
      <c r="D5" s="10"/>
      <c r="F5" s="9" t="s">
        <v>129</v>
      </c>
      <c r="G5" s="10"/>
      <c r="H5" s="10"/>
      <c r="I5" s="10"/>
      <c r="K5" s="11" t="s">
        <v>130</v>
      </c>
      <c r="L5" s="10"/>
      <c r="M5" s="10"/>
      <c r="N5" s="10"/>
      <c r="P5" s="19" t="s">
        <v>131</v>
      </c>
      <c r="Q5" s="10"/>
      <c r="R5" s="10"/>
      <c r="S5" s="10"/>
      <c r="U5" s="13" t="s">
        <v>132</v>
      </c>
      <c r="V5" s="10"/>
      <c r="W5" s="10"/>
      <c r="X5" s="10"/>
      <c r="Z5" s="20" t="s">
        <v>133</v>
      </c>
      <c r="AA5" s="10"/>
      <c r="AB5" s="10"/>
      <c r="AC5" s="10"/>
    </row>
    <row r="6" spans="1:30" ht="22.05" customHeight="1" x14ac:dyDescent="0.3">
      <c r="A6" s="10"/>
      <c r="B6" s="10"/>
      <c r="C6" s="10"/>
      <c r="D6" s="10"/>
      <c r="F6" s="10"/>
      <c r="G6" s="10"/>
      <c r="H6" s="10"/>
      <c r="I6" s="10"/>
      <c r="K6" s="10"/>
      <c r="L6" s="10"/>
      <c r="M6" s="10"/>
      <c r="N6" s="10"/>
      <c r="P6" s="10"/>
      <c r="Q6" s="10"/>
      <c r="R6" s="10"/>
      <c r="S6" s="10"/>
      <c r="U6" s="10"/>
      <c r="V6" s="10"/>
      <c r="W6" s="10"/>
      <c r="X6" s="10"/>
      <c r="Z6" s="10"/>
      <c r="AA6" s="10"/>
      <c r="AB6" s="10"/>
      <c r="AC6" s="10"/>
    </row>
    <row r="7" spans="1:30" ht="22.05" customHeight="1" x14ac:dyDescent="0.3">
      <c r="A7" s="10"/>
      <c r="B7" s="10"/>
      <c r="C7" s="10"/>
      <c r="D7" s="10"/>
      <c r="F7" s="10"/>
      <c r="G7" s="10"/>
      <c r="H7" s="10"/>
      <c r="I7" s="10"/>
      <c r="K7" s="10"/>
      <c r="L7" s="10"/>
      <c r="M7" s="10"/>
      <c r="N7" s="10"/>
      <c r="P7" s="10"/>
      <c r="Q7" s="10"/>
      <c r="R7" s="10"/>
      <c r="S7" s="10"/>
      <c r="U7" s="10"/>
      <c r="V7" s="10"/>
      <c r="W7" s="10"/>
      <c r="X7" s="10"/>
      <c r="Z7" s="10"/>
      <c r="AA7" s="10"/>
      <c r="AB7" s="10"/>
      <c r="AC7" s="10"/>
    </row>
  </sheetData>
  <mergeCells count="14">
    <mergeCell ref="A1:AD1"/>
    <mergeCell ref="A2:AD2"/>
    <mergeCell ref="K5:N7"/>
    <mergeCell ref="U3:X4"/>
    <mergeCell ref="A5:D7"/>
    <mergeCell ref="P5:S7"/>
    <mergeCell ref="Z3:AC4"/>
    <mergeCell ref="F5:I7"/>
    <mergeCell ref="Z5:AC7"/>
    <mergeCell ref="U5:X7"/>
    <mergeCell ref="K3:N4"/>
    <mergeCell ref="F3:I4"/>
    <mergeCell ref="A3:D4"/>
    <mergeCell ref="P3:S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"/>
  <sheetViews>
    <sheetView showGridLines="0" zoomScale="39" workbookViewId="0">
      <selection activeCell="H51" sqref="H51"/>
    </sheetView>
  </sheetViews>
  <sheetFormatPr defaultRowHeight="14.4" x14ac:dyDescent="0.3"/>
  <cols>
    <col min="1" max="1" width="20" customWidth="1"/>
    <col min="2" max="2" width="14" customWidth="1"/>
    <col min="3" max="5" width="16" customWidth="1"/>
    <col min="6" max="8" width="15" customWidth="1"/>
    <col min="9" max="29" width="13" customWidth="1"/>
  </cols>
  <sheetData>
    <row r="1" spans="1:24" ht="49.95" customHeight="1" x14ac:dyDescent="0.3">
      <c r="A1" s="28" t="s">
        <v>134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9.95" customHeight="1" x14ac:dyDescent="0.3">
      <c r="A2" s="27" t="s">
        <v>135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ht="22.05" customHeight="1" x14ac:dyDescent="0.3">
      <c r="A3" s="16" t="s">
        <v>136</v>
      </c>
      <c r="B3" s="10"/>
      <c r="C3" s="10"/>
      <c r="D3" s="10"/>
      <c r="F3" s="22" t="s">
        <v>137</v>
      </c>
      <c r="G3" s="10"/>
      <c r="H3" s="10"/>
      <c r="I3" s="10"/>
      <c r="K3" s="17" t="s">
        <v>138</v>
      </c>
      <c r="L3" s="10"/>
      <c r="M3" s="10"/>
      <c r="N3" s="10"/>
      <c r="P3" s="18" t="s">
        <v>139</v>
      </c>
      <c r="Q3" s="10"/>
      <c r="R3" s="10"/>
      <c r="S3" s="10"/>
      <c r="U3" s="24" t="s">
        <v>140</v>
      </c>
      <c r="V3" s="10"/>
      <c r="W3" s="10"/>
      <c r="X3" s="10"/>
    </row>
    <row r="4" spans="1:24" ht="22.05" customHeight="1" x14ac:dyDescent="0.3">
      <c r="A4" s="10"/>
      <c r="B4" s="10"/>
      <c r="C4" s="10"/>
      <c r="D4" s="10"/>
      <c r="F4" s="10"/>
      <c r="G4" s="10"/>
      <c r="H4" s="10"/>
      <c r="I4" s="10"/>
      <c r="K4" s="10"/>
      <c r="L4" s="10"/>
      <c r="M4" s="10"/>
      <c r="N4" s="10"/>
      <c r="P4" s="10"/>
      <c r="Q4" s="10"/>
      <c r="R4" s="10"/>
      <c r="S4" s="10"/>
      <c r="U4" s="10"/>
      <c r="V4" s="10"/>
      <c r="W4" s="10"/>
      <c r="X4" s="10"/>
    </row>
    <row r="5" spans="1:24" ht="22.05" customHeight="1" x14ac:dyDescent="0.3">
      <c r="A5" s="21" t="s">
        <v>12</v>
      </c>
      <c r="B5" s="10"/>
      <c r="C5" s="10"/>
      <c r="D5" s="10"/>
      <c r="F5" s="20" t="s">
        <v>141</v>
      </c>
      <c r="G5" s="10"/>
      <c r="H5" s="10"/>
      <c r="I5" s="10"/>
      <c r="K5" s="19" t="s">
        <v>141</v>
      </c>
      <c r="L5" s="10"/>
      <c r="M5" s="10"/>
      <c r="N5" s="10"/>
      <c r="P5" s="25" t="s">
        <v>142</v>
      </c>
      <c r="Q5" s="10"/>
      <c r="R5" s="10"/>
      <c r="S5" s="10"/>
      <c r="U5" s="11" t="s">
        <v>143</v>
      </c>
      <c r="V5" s="10"/>
      <c r="W5" s="10"/>
      <c r="X5" s="10"/>
    </row>
    <row r="6" spans="1:24" ht="22.05" customHeight="1" x14ac:dyDescent="0.3">
      <c r="A6" s="10"/>
      <c r="B6" s="10"/>
      <c r="C6" s="10"/>
      <c r="D6" s="10"/>
      <c r="F6" s="10"/>
      <c r="G6" s="10"/>
      <c r="H6" s="10"/>
      <c r="I6" s="10"/>
      <c r="K6" s="10"/>
      <c r="L6" s="10"/>
      <c r="M6" s="10"/>
      <c r="N6" s="10"/>
      <c r="P6" s="10"/>
      <c r="Q6" s="10"/>
      <c r="R6" s="10"/>
      <c r="S6" s="10"/>
      <c r="U6" s="10"/>
      <c r="V6" s="10"/>
      <c r="W6" s="10"/>
      <c r="X6" s="10"/>
    </row>
    <row r="7" spans="1:24" ht="22.05" customHeight="1" x14ac:dyDescent="0.3">
      <c r="A7" s="10"/>
      <c r="B7" s="10"/>
      <c r="C7" s="10"/>
      <c r="D7" s="10"/>
      <c r="F7" s="10"/>
      <c r="G7" s="10"/>
      <c r="H7" s="10"/>
      <c r="I7" s="10"/>
      <c r="K7" s="10"/>
      <c r="L7" s="10"/>
      <c r="M7" s="10"/>
      <c r="N7" s="10"/>
      <c r="P7" s="10"/>
      <c r="Q7" s="10"/>
      <c r="R7" s="10"/>
      <c r="S7" s="10"/>
      <c r="U7" s="10"/>
      <c r="V7" s="10"/>
      <c r="W7" s="10"/>
      <c r="X7" s="10"/>
    </row>
    <row r="9" spans="1:24" ht="25.95" customHeight="1" x14ac:dyDescent="0.3">
      <c r="A9" s="29" t="s">
        <v>144</v>
      </c>
      <c r="B9" s="10"/>
      <c r="C9" s="10"/>
      <c r="D9" s="10"/>
      <c r="E9" s="10"/>
      <c r="F9" s="10"/>
      <c r="G9" s="10"/>
      <c r="H9" s="10"/>
      <c r="J9" s="29" t="s">
        <v>149</v>
      </c>
      <c r="K9" s="10"/>
      <c r="L9" s="10"/>
      <c r="M9" s="10"/>
      <c r="N9" s="10"/>
      <c r="O9" s="10"/>
      <c r="P9" s="10"/>
      <c r="Q9" s="10"/>
    </row>
    <row r="10" spans="1:24" ht="28.05" customHeight="1" x14ac:dyDescent="0.3">
      <c r="A10" s="1" t="s">
        <v>26</v>
      </c>
      <c r="B10" s="1" t="s">
        <v>31</v>
      </c>
      <c r="C10" s="1" t="s">
        <v>145</v>
      </c>
      <c r="D10" s="1" t="s">
        <v>84</v>
      </c>
      <c r="E10" s="1" t="s">
        <v>88</v>
      </c>
      <c r="F10" s="1" t="s">
        <v>146</v>
      </c>
      <c r="G10" s="1" t="s">
        <v>89</v>
      </c>
      <c r="H10" s="1" t="s">
        <v>90</v>
      </c>
      <c r="J10" s="1" t="s">
        <v>29</v>
      </c>
      <c r="K10" s="1" t="s">
        <v>31</v>
      </c>
      <c r="L10" s="1" t="s">
        <v>145</v>
      </c>
      <c r="M10" s="1" t="s">
        <v>84</v>
      </c>
      <c r="N10" s="1" t="s">
        <v>85</v>
      </c>
      <c r="O10" s="1" t="s">
        <v>88</v>
      </c>
      <c r="P10" s="1" t="s">
        <v>87</v>
      </c>
      <c r="Q10" s="1" t="s">
        <v>90</v>
      </c>
    </row>
    <row r="11" spans="1:24" ht="22.05" customHeight="1" x14ac:dyDescent="0.3">
      <c r="A11" s="2" t="s">
        <v>37</v>
      </c>
      <c r="B11" s="3">
        <v>12476</v>
      </c>
      <c r="C11" s="4" t="s">
        <v>147</v>
      </c>
      <c r="D11" s="3">
        <v>3173.6</v>
      </c>
      <c r="E11" s="3">
        <v>1535.58</v>
      </c>
      <c r="F11" s="3">
        <v>254377</v>
      </c>
      <c r="G11" s="3">
        <v>317938</v>
      </c>
      <c r="H11" s="4" t="s">
        <v>91</v>
      </c>
      <c r="J11" s="2" t="s">
        <v>38</v>
      </c>
      <c r="K11" s="3">
        <v>12421</v>
      </c>
      <c r="L11" s="4" t="s">
        <v>102</v>
      </c>
      <c r="M11" s="3">
        <v>3105.68</v>
      </c>
      <c r="N11" s="3">
        <v>1414.7</v>
      </c>
      <c r="O11" s="3">
        <v>1496.65</v>
      </c>
      <c r="P11" s="3">
        <v>194.34</v>
      </c>
      <c r="Q11" s="4" t="s">
        <v>97</v>
      </c>
    </row>
    <row r="12" spans="1:24" ht="22.05" customHeight="1" x14ac:dyDescent="0.3">
      <c r="A12" s="5" t="s">
        <v>22</v>
      </c>
      <c r="B12" s="6">
        <v>12575</v>
      </c>
      <c r="C12" s="7" t="s">
        <v>148</v>
      </c>
      <c r="D12" s="6">
        <v>3177.51</v>
      </c>
      <c r="E12" s="6">
        <v>1541.26</v>
      </c>
      <c r="F12" s="6">
        <v>252684</v>
      </c>
      <c r="G12" s="6">
        <v>320377</v>
      </c>
      <c r="H12" s="7" t="s">
        <v>92</v>
      </c>
      <c r="J12" s="5" t="s">
        <v>43</v>
      </c>
      <c r="K12" s="6">
        <v>12559</v>
      </c>
      <c r="L12" s="7" t="s">
        <v>148</v>
      </c>
      <c r="M12" s="6">
        <v>3190.64</v>
      </c>
      <c r="N12" s="6">
        <v>1444.64</v>
      </c>
      <c r="O12" s="6">
        <v>1546.38</v>
      </c>
      <c r="P12" s="6">
        <v>199.62</v>
      </c>
      <c r="Q12" s="7" t="s">
        <v>99</v>
      </c>
    </row>
    <row r="13" spans="1:24" ht="22.05" customHeight="1" x14ac:dyDescent="0.3">
      <c r="A13" s="2" t="s">
        <v>48</v>
      </c>
      <c r="B13" s="3">
        <v>12527</v>
      </c>
      <c r="C13" s="4" t="s">
        <v>148</v>
      </c>
      <c r="D13" s="3">
        <v>3159.64</v>
      </c>
      <c r="E13" s="3">
        <v>1535.76</v>
      </c>
      <c r="F13" s="3">
        <v>252226</v>
      </c>
      <c r="G13" s="3">
        <v>318105</v>
      </c>
      <c r="H13" s="4" t="s">
        <v>93</v>
      </c>
      <c r="J13" s="2" t="s">
        <v>49</v>
      </c>
      <c r="K13" s="3">
        <v>12415</v>
      </c>
      <c r="L13" s="4" t="s">
        <v>102</v>
      </c>
      <c r="M13" s="3">
        <v>3136.73</v>
      </c>
      <c r="N13" s="3">
        <v>1417.53</v>
      </c>
      <c r="O13" s="3">
        <v>1521.14</v>
      </c>
      <c r="P13" s="3">
        <v>198.06</v>
      </c>
      <c r="Q13" s="4" t="s">
        <v>101</v>
      </c>
    </row>
    <row r="14" spans="1:24" ht="22.05" customHeight="1" x14ac:dyDescent="0.3">
      <c r="A14" s="5" t="s">
        <v>54</v>
      </c>
      <c r="B14" s="6">
        <v>12422</v>
      </c>
      <c r="C14" s="7" t="s">
        <v>102</v>
      </c>
      <c r="D14" s="6">
        <v>3120.33</v>
      </c>
      <c r="E14" s="6">
        <v>1503.42</v>
      </c>
      <c r="F14" s="6">
        <v>251194</v>
      </c>
      <c r="G14" s="6">
        <v>315770</v>
      </c>
      <c r="H14" s="7" t="s">
        <v>94</v>
      </c>
      <c r="J14" s="5" t="s">
        <v>55</v>
      </c>
      <c r="K14" s="6">
        <v>12605</v>
      </c>
      <c r="L14" s="7" t="s">
        <v>150</v>
      </c>
      <c r="M14" s="6">
        <v>3198.01</v>
      </c>
      <c r="N14" s="6">
        <v>1443.48</v>
      </c>
      <c r="O14" s="6">
        <v>1551.84</v>
      </c>
      <c r="P14" s="6">
        <v>202.69</v>
      </c>
      <c r="Q14" s="7" t="s">
        <v>103</v>
      </c>
    </row>
    <row r="17" spans="1:15" ht="25.95" customHeight="1" x14ac:dyDescent="0.3">
      <c r="A17" s="29" t="s">
        <v>151</v>
      </c>
      <c r="B17" s="10"/>
      <c r="C17" s="10"/>
      <c r="D17" s="10"/>
      <c r="E17" s="10"/>
      <c r="F17" s="10"/>
      <c r="G17" s="10"/>
      <c r="I17" s="29" t="s">
        <v>152</v>
      </c>
      <c r="J17" s="10"/>
      <c r="K17" s="10"/>
      <c r="L17" s="10"/>
      <c r="M17" s="10"/>
      <c r="N17" s="10"/>
      <c r="O17" s="10"/>
    </row>
    <row r="18" spans="1:15" ht="28.05" customHeight="1" x14ac:dyDescent="0.3">
      <c r="A18" s="1" t="s">
        <v>105</v>
      </c>
      <c r="B18" s="1" t="s">
        <v>31</v>
      </c>
      <c r="C18" s="1" t="s">
        <v>106</v>
      </c>
      <c r="D18" s="1" t="s">
        <v>84</v>
      </c>
      <c r="E18" s="1" t="s">
        <v>88</v>
      </c>
      <c r="F18" s="1" t="s">
        <v>90</v>
      </c>
      <c r="G18" s="1" t="s">
        <v>146</v>
      </c>
      <c r="I18" s="1" t="s">
        <v>114</v>
      </c>
      <c r="J18" s="1" t="s">
        <v>31</v>
      </c>
      <c r="K18" s="1" t="s">
        <v>106</v>
      </c>
      <c r="L18" s="1" t="s">
        <v>84</v>
      </c>
      <c r="M18" s="1" t="s">
        <v>88</v>
      </c>
      <c r="N18" s="1" t="s">
        <v>90</v>
      </c>
      <c r="O18" s="1" t="s">
        <v>146</v>
      </c>
    </row>
    <row r="19" spans="1:15" ht="22.05" customHeight="1" x14ac:dyDescent="0.3">
      <c r="A19" s="2" t="s">
        <v>39</v>
      </c>
      <c r="B19" s="3">
        <v>9917</v>
      </c>
      <c r="C19" s="4" t="s">
        <v>107</v>
      </c>
      <c r="D19" s="3">
        <v>2500.4899999999998</v>
      </c>
      <c r="E19" s="3">
        <v>1209.81</v>
      </c>
      <c r="F19" s="4" t="s">
        <v>13</v>
      </c>
      <c r="G19" s="3">
        <v>252142</v>
      </c>
      <c r="I19" s="2" t="s">
        <v>40</v>
      </c>
      <c r="J19" s="3">
        <v>16814</v>
      </c>
      <c r="K19" s="4" t="s">
        <v>82</v>
      </c>
      <c r="L19" s="3">
        <v>4250.8</v>
      </c>
      <c r="M19" s="3">
        <v>2061.31</v>
      </c>
      <c r="N19" s="4" t="s">
        <v>115</v>
      </c>
      <c r="O19" s="3">
        <v>252813</v>
      </c>
    </row>
    <row r="20" spans="1:15" ht="22.05" customHeight="1" x14ac:dyDescent="0.3">
      <c r="A20" s="5" t="s">
        <v>44</v>
      </c>
      <c r="B20" s="6">
        <v>10023</v>
      </c>
      <c r="C20" s="7" t="s">
        <v>108</v>
      </c>
      <c r="D20" s="6">
        <v>2557.94</v>
      </c>
      <c r="E20" s="6">
        <v>1236.83</v>
      </c>
      <c r="F20" s="7" t="s">
        <v>13</v>
      </c>
      <c r="G20" s="6">
        <v>255207</v>
      </c>
      <c r="I20" s="5" t="s">
        <v>45</v>
      </c>
      <c r="J20" s="6">
        <v>16657</v>
      </c>
      <c r="K20" s="7" t="s">
        <v>116</v>
      </c>
      <c r="L20" s="6">
        <v>4206.54</v>
      </c>
      <c r="M20" s="6">
        <v>2025.15</v>
      </c>
      <c r="N20" s="7" t="s">
        <v>117</v>
      </c>
      <c r="O20" s="6">
        <v>252539</v>
      </c>
    </row>
    <row r="21" spans="1:15" ht="22.05" customHeight="1" x14ac:dyDescent="0.3">
      <c r="A21" s="2" t="s">
        <v>50</v>
      </c>
      <c r="B21" s="3">
        <v>9890</v>
      </c>
      <c r="C21" s="4" t="s">
        <v>107</v>
      </c>
      <c r="D21" s="3">
        <v>2486.1999999999998</v>
      </c>
      <c r="E21" s="3">
        <v>1204.22</v>
      </c>
      <c r="F21" s="4" t="s">
        <v>13</v>
      </c>
      <c r="G21" s="3">
        <v>251386</v>
      </c>
      <c r="I21" s="2" t="s">
        <v>51</v>
      </c>
      <c r="J21" s="3">
        <v>16529</v>
      </c>
      <c r="K21" s="4" t="s">
        <v>118</v>
      </c>
      <c r="L21" s="3">
        <v>4173.7299999999996</v>
      </c>
      <c r="M21" s="3">
        <v>2029.54</v>
      </c>
      <c r="N21" s="4" t="s">
        <v>119</v>
      </c>
      <c r="O21" s="3">
        <v>252510</v>
      </c>
    </row>
    <row r="22" spans="1:15" ht="22.05" customHeight="1" x14ac:dyDescent="0.3">
      <c r="A22" s="5" t="s">
        <v>56</v>
      </c>
      <c r="B22" s="6">
        <v>10199</v>
      </c>
      <c r="C22" s="7" t="s">
        <v>109</v>
      </c>
      <c r="D22" s="6">
        <v>2575.92</v>
      </c>
      <c r="E22" s="6">
        <v>1240.9100000000001</v>
      </c>
      <c r="F22" s="7" t="s">
        <v>110</v>
      </c>
      <c r="G22" s="6">
        <v>252566</v>
      </c>
    </row>
    <row r="23" spans="1:15" x14ac:dyDescent="0.3">
      <c r="A23" s="2" t="s">
        <v>59</v>
      </c>
      <c r="B23" s="3">
        <v>9971</v>
      </c>
      <c r="C23" s="4" t="s">
        <v>111</v>
      </c>
      <c r="D23" s="3">
        <v>2510.5100000000002</v>
      </c>
      <c r="E23" s="3">
        <v>1224.24</v>
      </c>
      <c r="F23" s="4" t="s">
        <v>112</v>
      </c>
      <c r="G23" s="3">
        <v>251781</v>
      </c>
    </row>
    <row r="25" spans="1:15" ht="25.95" customHeight="1" x14ac:dyDescent="0.3"/>
    <row r="26" spans="1:15" ht="28.05" customHeight="1" x14ac:dyDescent="0.3"/>
    <row r="27" spans="1:15" ht="22.05" customHeight="1" x14ac:dyDescent="0.3"/>
    <row r="28" spans="1:15" ht="22.05" customHeight="1" x14ac:dyDescent="0.3"/>
    <row r="29" spans="1:15" ht="22.05" customHeight="1" x14ac:dyDescent="0.3"/>
    <row r="30" spans="1:15" ht="22.05" customHeight="1" x14ac:dyDescent="0.3"/>
    <row r="31" spans="1:15" ht="22.05" customHeight="1" x14ac:dyDescent="0.3"/>
    <row r="34" ht="25.95" customHeight="1" x14ac:dyDescent="0.3"/>
    <row r="35" ht="28.05" customHeight="1" x14ac:dyDescent="0.3"/>
    <row r="36" ht="22.05" customHeight="1" x14ac:dyDescent="0.3"/>
    <row r="37" ht="22.05" customHeight="1" x14ac:dyDescent="0.3"/>
    <row r="38" ht="22.05" customHeight="1" x14ac:dyDescent="0.3"/>
  </sheetData>
  <mergeCells count="16">
    <mergeCell ref="A1:X1"/>
    <mergeCell ref="U3:X4"/>
    <mergeCell ref="A5:D7"/>
    <mergeCell ref="P5:S7"/>
    <mergeCell ref="F5:I7"/>
    <mergeCell ref="U5:X7"/>
    <mergeCell ref="A9:H9"/>
    <mergeCell ref="A2:X2"/>
    <mergeCell ref="K3:N4"/>
    <mergeCell ref="I17:O17"/>
    <mergeCell ref="F3:I4"/>
    <mergeCell ref="A17:G17"/>
    <mergeCell ref="A3:D4"/>
    <mergeCell ref="P3:S4"/>
    <mergeCell ref="K5:N7"/>
    <mergeCell ref="J9:Q9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9"/>
  <sheetViews>
    <sheetView showGridLines="0" tabSelected="1" zoomScale="50" workbookViewId="0">
      <selection activeCell="E3" sqref="E3"/>
    </sheetView>
  </sheetViews>
  <sheetFormatPr defaultRowHeight="14.4" x14ac:dyDescent="0.3"/>
  <cols>
    <col min="1" max="1" width="30" customWidth="1"/>
    <col min="2" max="2" width="20" customWidth="1"/>
    <col min="3" max="3" width="24" customWidth="1"/>
    <col min="4" max="4" width="12" customWidth="1"/>
    <col min="5" max="5" width="9.21875" customWidth="1"/>
    <col min="6" max="19" width="18" customWidth="1"/>
  </cols>
  <sheetData>
    <row r="1" spans="1:21" ht="49.95" customHeight="1" x14ac:dyDescent="0.3">
      <c r="A1" s="28" t="s">
        <v>153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ht="19.95" customHeight="1" x14ac:dyDescent="0.3">
      <c r="A2" s="27" t="s">
        <v>154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ht="25.95" customHeight="1" x14ac:dyDescent="0.3"/>
    <row r="4" spans="1:21" ht="28.05" customHeight="1" x14ac:dyDescent="0.3">
      <c r="A4" s="29" t="s">
        <v>155</v>
      </c>
      <c r="B4" s="10"/>
      <c r="C4" s="10"/>
      <c r="D4" s="10"/>
      <c r="F4" s="29" t="s">
        <v>208</v>
      </c>
      <c r="G4" s="10"/>
      <c r="H4" s="10"/>
      <c r="I4" s="10"/>
      <c r="J4" s="10"/>
      <c r="K4" s="10"/>
      <c r="L4" s="10"/>
      <c r="M4" s="10"/>
      <c r="N4" s="10"/>
      <c r="P4" s="29" t="s">
        <v>213</v>
      </c>
      <c r="Q4" s="10"/>
      <c r="R4" s="10"/>
      <c r="S4" s="10"/>
      <c r="T4" s="10"/>
    </row>
    <row r="5" spans="1:21" ht="22.05" customHeight="1" x14ac:dyDescent="0.3">
      <c r="A5" s="1" t="s">
        <v>156</v>
      </c>
      <c r="B5" s="1" t="s">
        <v>157</v>
      </c>
      <c r="C5" s="1" t="s">
        <v>158</v>
      </c>
      <c r="D5" s="1" t="s">
        <v>159</v>
      </c>
      <c r="F5" s="8" t="s">
        <v>26</v>
      </c>
      <c r="G5" s="8" t="s">
        <v>31</v>
      </c>
      <c r="H5" s="8" t="s">
        <v>84</v>
      </c>
      <c r="I5" s="8" t="s">
        <v>85</v>
      </c>
      <c r="J5" s="8" t="s">
        <v>86</v>
      </c>
      <c r="K5" s="8" t="s">
        <v>87</v>
      </c>
      <c r="L5" s="8" t="s">
        <v>88</v>
      </c>
      <c r="M5" s="8" t="s">
        <v>209</v>
      </c>
      <c r="N5" s="8" t="s">
        <v>210</v>
      </c>
      <c r="P5" s="8" t="s">
        <v>33</v>
      </c>
      <c r="Q5" s="8" t="s">
        <v>84</v>
      </c>
      <c r="R5" s="8" t="s">
        <v>85</v>
      </c>
      <c r="S5" s="8" t="s">
        <v>88</v>
      </c>
      <c r="T5" s="8" t="s">
        <v>31</v>
      </c>
    </row>
    <row r="6" spans="1:21" ht="22.05" customHeight="1" x14ac:dyDescent="0.3">
      <c r="A6" s="2" t="s">
        <v>136</v>
      </c>
      <c r="B6" s="4" t="s">
        <v>12</v>
      </c>
      <c r="C6" s="4" t="s">
        <v>160</v>
      </c>
      <c r="D6" s="4" t="s">
        <v>161</v>
      </c>
      <c r="F6" s="2" t="s">
        <v>37</v>
      </c>
      <c r="G6" s="3">
        <v>12476</v>
      </c>
      <c r="H6" s="3">
        <v>3173.6</v>
      </c>
      <c r="I6" s="3">
        <v>1438.2</v>
      </c>
      <c r="J6" s="3">
        <v>1735.4</v>
      </c>
      <c r="K6" s="3">
        <v>199.83</v>
      </c>
      <c r="L6" s="3">
        <v>1535.58</v>
      </c>
      <c r="M6" s="3">
        <v>317938</v>
      </c>
      <c r="N6" s="4" t="s">
        <v>91</v>
      </c>
      <c r="P6" s="2" t="s">
        <v>214</v>
      </c>
      <c r="Q6" s="3">
        <v>530.63</v>
      </c>
      <c r="R6" s="3">
        <v>242.5</v>
      </c>
      <c r="S6" s="3">
        <v>254.87</v>
      </c>
      <c r="T6" s="3">
        <v>2080</v>
      </c>
    </row>
    <row r="7" spans="1:21" ht="22.05" customHeight="1" x14ac:dyDescent="0.3">
      <c r="A7" s="5" t="s">
        <v>162</v>
      </c>
      <c r="B7" s="7" t="s">
        <v>163</v>
      </c>
      <c r="C7" s="7" t="s">
        <v>164</v>
      </c>
      <c r="D7" s="7" t="s">
        <v>161</v>
      </c>
      <c r="F7" s="5" t="s">
        <v>22</v>
      </c>
      <c r="G7" s="6">
        <v>12575</v>
      </c>
      <c r="H7" s="6">
        <v>3177.51</v>
      </c>
      <c r="I7" s="6">
        <v>1436.42</v>
      </c>
      <c r="J7" s="6">
        <v>1741.09</v>
      </c>
      <c r="K7" s="6">
        <v>199.83</v>
      </c>
      <c r="L7" s="6">
        <v>1541.26</v>
      </c>
      <c r="M7" s="6">
        <v>320377</v>
      </c>
      <c r="N7" s="7" t="s">
        <v>92</v>
      </c>
      <c r="P7" s="5" t="s">
        <v>215</v>
      </c>
      <c r="Q7" s="6">
        <v>503.57</v>
      </c>
      <c r="R7" s="6">
        <v>224.48</v>
      </c>
      <c r="S7" s="6">
        <v>246.69</v>
      </c>
      <c r="T7" s="6">
        <v>1985</v>
      </c>
    </row>
    <row r="8" spans="1:21" ht="22.05" customHeight="1" x14ac:dyDescent="0.3">
      <c r="A8" s="2" t="s">
        <v>165</v>
      </c>
      <c r="B8" s="4" t="s">
        <v>166</v>
      </c>
      <c r="C8" s="4" t="s">
        <v>164</v>
      </c>
      <c r="D8" s="4" t="s">
        <v>161</v>
      </c>
      <c r="F8" s="2" t="s">
        <v>48</v>
      </c>
      <c r="G8" s="3">
        <v>12527</v>
      </c>
      <c r="H8" s="3">
        <v>3159.64</v>
      </c>
      <c r="I8" s="3">
        <v>1424.25</v>
      </c>
      <c r="J8" s="3">
        <v>1735.38</v>
      </c>
      <c r="K8" s="3">
        <v>199.63</v>
      </c>
      <c r="L8" s="3">
        <v>1535.76</v>
      </c>
      <c r="M8" s="3">
        <v>318105</v>
      </c>
      <c r="N8" s="4" t="s">
        <v>93</v>
      </c>
      <c r="P8" s="2" t="s">
        <v>216</v>
      </c>
      <c r="Q8" s="3">
        <v>546.14</v>
      </c>
      <c r="R8" s="3">
        <v>244.39</v>
      </c>
      <c r="S8" s="3">
        <v>266.98</v>
      </c>
      <c r="T8" s="3">
        <v>2124</v>
      </c>
    </row>
    <row r="9" spans="1:21" ht="22.05" customHeight="1" x14ac:dyDescent="0.3">
      <c r="A9" s="5" t="s">
        <v>167</v>
      </c>
      <c r="B9" s="7" t="s">
        <v>168</v>
      </c>
      <c r="C9" s="7" t="s">
        <v>164</v>
      </c>
      <c r="D9" s="7" t="s">
        <v>161</v>
      </c>
      <c r="F9" s="5" t="s">
        <v>54</v>
      </c>
      <c r="G9" s="6">
        <v>12422</v>
      </c>
      <c r="H9" s="6">
        <v>3120.33</v>
      </c>
      <c r="I9" s="6">
        <v>1421.49</v>
      </c>
      <c r="J9" s="6">
        <v>1698.84</v>
      </c>
      <c r="K9" s="6">
        <v>195.42</v>
      </c>
      <c r="L9" s="6">
        <v>1503.42</v>
      </c>
      <c r="M9" s="6">
        <v>315770</v>
      </c>
      <c r="N9" s="7" t="s">
        <v>94</v>
      </c>
      <c r="P9" s="5" t="s">
        <v>217</v>
      </c>
      <c r="Q9" s="6">
        <v>496.68</v>
      </c>
      <c r="R9" s="6">
        <v>224.67</v>
      </c>
      <c r="S9" s="6">
        <v>240.62</v>
      </c>
      <c r="T9" s="6">
        <v>2001</v>
      </c>
    </row>
    <row r="10" spans="1:21" ht="22.05" customHeight="1" x14ac:dyDescent="0.3">
      <c r="A10" s="2" t="s">
        <v>169</v>
      </c>
      <c r="B10" s="4" t="s">
        <v>170</v>
      </c>
      <c r="C10" s="4" t="s">
        <v>164</v>
      </c>
      <c r="D10" s="4" t="s">
        <v>161</v>
      </c>
      <c r="P10" s="2" t="s">
        <v>218</v>
      </c>
      <c r="Q10" s="3">
        <v>521.25</v>
      </c>
      <c r="R10" s="3">
        <v>240.03</v>
      </c>
      <c r="S10" s="3">
        <v>248.79</v>
      </c>
      <c r="T10" s="3">
        <v>2053</v>
      </c>
    </row>
    <row r="11" spans="1:21" ht="22.05" customHeight="1" x14ac:dyDescent="0.3">
      <c r="A11" s="5" t="s">
        <v>171</v>
      </c>
      <c r="B11" s="7" t="s">
        <v>172</v>
      </c>
      <c r="C11" s="7" t="s">
        <v>164</v>
      </c>
      <c r="D11" s="7" t="s">
        <v>161</v>
      </c>
      <c r="F11" s="29" t="s">
        <v>211</v>
      </c>
      <c r="G11" s="10"/>
      <c r="H11" s="10"/>
      <c r="I11" s="10"/>
      <c r="J11" s="10"/>
      <c r="K11" s="10"/>
      <c r="L11" s="10"/>
      <c r="M11" s="10"/>
      <c r="P11" s="5" t="s">
        <v>219</v>
      </c>
      <c r="Q11" s="6">
        <v>509.53</v>
      </c>
      <c r="R11" s="6">
        <v>230.05</v>
      </c>
      <c r="S11" s="6">
        <v>248.1</v>
      </c>
      <c r="T11" s="6">
        <v>2012</v>
      </c>
    </row>
    <row r="12" spans="1:21" ht="22.05" customHeight="1" x14ac:dyDescent="0.3">
      <c r="A12" s="2" t="s">
        <v>173</v>
      </c>
      <c r="B12" s="4" t="s">
        <v>20</v>
      </c>
      <c r="C12" s="4" t="s">
        <v>174</v>
      </c>
      <c r="D12" s="4" t="s">
        <v>161</v>
      </c>
      <c r="F12" s="8" t="s">
        <v>29</v>
      </c>
      <c r="G12" s="8" t="s">
        <v>31</v>
      </c>
      <c r="H12" s="8" t="s">
        <v>84</v>
      </c>
      <c r="I12" s="8" t="s">
        <v>85</v>
      </c>
      <c r="J12" s="8" t="s">
        <v>88</v>
      </c>
      <c r="K12" s="8" t="s">
        <v>87</v>
      </c>
      <c r="L12" s="8" t="s">
        <v>210</v>
      </c>
      <c r="M12" s="8" t="s">
        <v>212</v>
      </c>
      <c r="P12" s="2" t="s">
        <v>220</v>
      </c>
      <c r="Q12" s="3">
        <v>527.47</v>
      </c>
      <c r="R12" s="3">
        <v>243.35</v>
      </c>
      <c r="S12" s="3">
        <v>251.24</v>
      </c>
      <c r="T12" s="3">
        <v>2152</v>
      </c>
    </row>
    <row r="13" spans="1:21" ht="22.05" customHeight="1" x14ac:dyDescent="0.3">
      <c r="A13" s="5" t="s">
        <v>175</v>
      </c>
      <c r="B13" s="7" t="s">
        <v>176</v>
      </c>
      <c r="C13" s="7" t="s">
        <v>174</v>
      </c>
      <c r="D13" s="7" t="s">
        <v>161</v>
      </c>
      <c r="F13" s="2" t="s">
        <v>38</v>
      </c>
      <c r="G13" s="3">
        <v>12421</v>
      </c>
      <c r="H13" s="3">
        <v>3105.68</v>
      </c>
      <c r="I13" s="3">
        <v>1414.7</v>
      </c>
      <c r="J13" s="3">
        <v>1496.65</v>
      </c>
      <c r="K13" s="3">
        <v>194.34</v>
      </c>
      <c r="L13" s="4" t="s">
        <v>97</v>
      </c>
      <c r="M13" s="4" t="s">
        <v>98</v>
      </c>
      <c r="P13" s="5" t="s">
        <v>221</v>
      </c>
      <c r="Q13" s="6">
        <v>555.45000000000005</v>
      </c>
      <c r="R13" s="6">
        <v>253.61</v>
      </c>
      <c r="S13" s="6">
        <v>266.73</v>
      </c>
      <c r="T13" s="6">
        <v>2213</v>
      </c>
    </row>
    <row r="14" spans="1:21" ht="22.05" customHeight="1" x14ac:dyDescent="0.3">
      <c r="A14" s="2" t="s">
        <v>177</v>
      </c>
      <c r="B14" s="4" t="s">
        <v>13</v>
      </c>
      <c r="C14" s="4" t="s">
        <v>178</v>
      </c>
      <c r="D14" s="4" t="s">
        <v>161</v>
      </c>
      <c r="F14" s="5" t="s">
        <v>43</v>
      </c>
      <c r="G14" s="6">
        <v>12559</v>
      </c>
      <c r="H14" s="6">
        <v>3190.64</v>
      </c>
      <c r="I14" s="6">
        <v>1444.64</v>
      </c>
      <c r="J14" s="6">
        <v>1546.38</v>
      </c>
      <c r="K14" s="6">
        <v>199.62</v>
      </c>
      <c r="L14" s="7" t="s">
        <v>99</v>
      </c>
      <c r="M14" s="7" t="s">
        <v>100</v>
      </c>
      <c r="P14" s="2" t="s">
        <v>222</v>
      </c>
      <c r="Q14" s="3">
        <v>516.82000000000005</v>
      </c>
      <c r="R14" s="3">
        <v>235.04</v>
      </c>
      <c r="S14" s="3">
        <v>249.88</v>
      </c>
      <c r="T14" s="3">
        <v>2066</v>
      </c>
    </row>
    <row r="15" spans="1:21" ht="22.05" customHeight="1" x14ac:dyDescent="0.3">
      <c r="A15" s="5" t="s">
        <v>122</v>
      </c>
      <c r="B15" s="7" t="s">
        <v>179</v>
      </c>
      <c r="C15" s="7" t="s">
        <v>180</v>
      </c>
      <c r="D15" s="7" t="s">
        <v>181</v>
      </c>
      <c r="F15" s="2" t="s">
        <v>49</v>
      </c>
      <c r="G15" s="3">
        <v>12415</v>
      </c>
      <c r="H15" s="3">
        <v>3136.73</v>
      </c>
      <c r="I15" s="3">
        <v>1417.53</v>
      </c>
      <c r="J15" s="3">
        <v>1521.14</v>
      </c>
      <c r="K15" s="3">
        <v>198.06</v>
      </c>
      <c r="L15" s="4" t="s">
        <v>101</v>
      </c>
      <c r="M15" s="4" t="s">
        <v>102</v>
      </c>
      <c r="P15" s="5" t="s">
        <v>223</v>
      </c>
      <c r="Q15" s="6">
        <v>561.6</v>
      </c>
      <c r="R15" s="6">
        <v>247</v>
      </c>
      <c r="S15" s="6">
        <v>279.08999999999997</v>
      </c>
      <c r="T15" s="6">
        <v>2146</v>
      </c>
    </row>
    <row r="16" spans="1:21" ht="22.05" customHeight="1" x14ac:dyDescent="0.3">
      <c r="A16" s="2" t="s">
        <v>123</v>
      </c>
      <c r="B16" s="4" t="s">
        <v>182</v>
      </c>
      <c r="C16" s="4" t="s">
        <v>180</v>
      </c>
      <c r="D16" s="4" t="s">
        <v>183</v>
      </c>
      <c r="F16" s="5" t="s">
        <v>55</v>
      </c>
      <c r="G16" s="6">
        <v>12605</v>
      </c>
      <c r="H16" s="6">
        <v>3198.01</v>
      </c>
      <c r="I16" s="6">
        <v>1443.48</v>
      </c>
      <c r="J16" s="6">
        <v>1551.84</v>
      </c>
      <c r="K16" s="6">
        <v>202.69</v>
      </c>
      <c r="L16" s="7" t="s">
        <v>103</v>
      </c>
      <c r="M16" s="7" t="s">
        <v>100</v>
      </c>
      <c r="P16" s="2" t="s">
        <v>224</v>
      </c>
      <c r="Q16" s="3">
        <v>500.25</v>
      </c>
      <c r="R16" s="3">
        <v>222.69</v>
      </c>
      <c r="S16" s="3">
        <v>245.4</v>
      </c>
      <c r="T16" s="3">
        <v>1959</v>
      </c>
    </row>
    <row r="17" spans="1:20" ht="22.05" customHeight="1" x14ac:dyDescent="0.3">
      <c r="A17" s="5" t="s">
        <v>124</v>
      </c>
      <c r="B17" s="7" t="s">
        <v>184</v>
      </c>
      <c r="C17" s="7" t="s">
        <v>180</v>
      </c>
      <c r="D17" s="7" t="s">
        <v>181</v>
      </c>
      <c r="P17" s="5" t="s">
        <v>225</v>
      </c>
      <c r="Q17" s="6">
        <v>533.67999999999995</v>
      </c>
      <c r="R17" s="6">
        <v>244.03</v>
      </c>
      <c r="S17" s="6">
        <v>256.58</v>
      </c>
      <c r="T17" s="6">
        <v>2130</v>
      </c>
    </row>
    <row r="18" spans="1:20" ht="22.05" customHeight="1" x14ac:dyDescent="0.3">
      <c r="A18" s="2" t="s">
        <v>125</v>
      </c>
      <c r="B18" s="4" t="s">
        <v>185</v>
      </c>
      <c r="C18" s="4" t="s">
        <v>180</v>
      </c>
      <c r="D18" s="4" t="s">
        <v>183</v>
      </c>
      <c r="P18" s="2" t="s">
        <v>41</v>
      </c>
      <c r="Q18" s="3">
        <v>579.19000000000005</v>
      </c>
      <c r="R18" s="3">
        <v>265.07</v>
      </c>
      <c r="S18" s="3">
        <v>277.95</v>
      </c>
      <c r="T18" s="3">
        <v>2264</v>
      </c>
    </row>
    <row r="19" spans="1:20" ht="22.05" customHeight="1" x14ac:dyDescent="0.3">
      <c r="A19" s="5" t="s">
        <v>186</v>
      </c>
      <c r="B19" s="7" t="s">
        <v>132</v>
      </c>
      <c r="C19" s="7" t="s">
        <v>187</v>
      </c>
      <c r="D19" s="7" t="s">
        <v>188</v>
      </c>
      <c r="P19" s="5" t="s">
        <v>46</v>
      </c>
      <c r="Q19" s="6">
        <v>489.47</v>
      </c>
      <c r="R19" s="6">
        <v>222.75</v>
      </c>
      <c r="S19" s="6">
        <v>236.09</v>
      </c>
      <c r="T19" s="6">
        <v>1938</v>
      </c>
    </row>
    <row r="20" spans="1:20" ht="22.05" customHeight="1" x14ac:dyDescent="0.3">
      <c r="A20" s="2" t="s">
        <v>189</v>
      </c>
      <c r="B20" s="4" t="s">
        <v>190</v>
      </c>
      <c r="C20" s="4" t="s">
        <v>191</v>
      </c>
      <c r="D20" s="4" t="s">
        <v>161</v>
      </c>
      <c r="P20" s="2" t="s">
        <v>52</v>
      </c>
      <c r="Q20" s="3">
        <v>545.21</v>
      </c>
      <c r="R20" s="3">
        <v>247.62</v>
      </c>
      <c r="S20" s="3">
        <v>263.58</v>
      </c>
      <c r="T20" s="3">
        <v>2189</v>
      </c>
    </row>
    <row r="21" spans="1:20" ht="22.05" customHeight="1" x14ac:dyDescent="0.3">
      <c r="A21" s="5" t="s">
        <v>192</v>
      </c>
      <c r="B21" s="7" t="s">
        <v>193</v>
      </c>
      <c r="C21" s="7" t="s">
        <v>194</v>
      </c>
      <c r="D21" s="7" t="s">
        <v>161</v>
      </c>
      <c r="P21" s="5" t="s">
        <v>57</v>
      </c>
      <c r="Q21" s="6">
        <v>528.02</v>
      </c>
      <c r="R21" s="6">
        <v>238.03</v>
      </c>
      <c r="S21" s="6">
        <v>255.68</v>
      </c>
      <c r="T21" s="6">
        <v>2100</v>
      </c>
    </row>
    <row r="22" spans="1:20" ht="22.05" customHeight="1" x14ac:dyDescent="0.3">
      <c r="A22" s="2" t="s">
        <v>195</v>
      </c>
      <c r="B22" s="4" t="s">
        <v>56</v>
      </c>
      <c r="C22" s="4" t="s">
        <v>196</v>
      </c>
      <c r="D22" s="4" t="s">
        <v>161</v>
      </c>
      <c r="P22" s="2" t="s">
        <v>60</v>
      </c>
      <c r="Q22" s="3">
        <v>529.1</v>
      </c>
      <c r="R22" s="3">
        <v>239.05</v>
      </c>
      <c r="S22" s="3">
        <v>256.8</v>
      </c>
      <c r="T22" s="3">
        <v>2085</v>
      </c>
    </row>
    <row r="23" spans="1:20" ht="22.05" customHeight="1" x14ac:dyDescent="0.3">
      <c r="A23" s="5" t="s">
        <v>78</v>
      </c>
      <c r="B23" s="7" t="s">
        <v>82</v>
      </c>
      <c r="C23" s="7" t="s">
        <v>197</v>
      </c>
      <c r="D23" s="7" t="s">
        <v>161</v>
      </c>
      <c r="P23" s="5" t="s">
        <v>62</v>
      </c>
      <c r="Q23" s="6">
        <v>481.68</v>
      </c>
      <c r="R23" s="6">
        <v>221.87</v>
      </c>
      <c r="S23" s="6">
        <v>229.81</v>
      </c>
      <c r="T23" s="6">
        <v>1916</v>
      </c>
    </row>
    <row r="24" spans="1:20" ht="22.05" customHeight="1" x14ac:dyDescent="0.3">
      <c r="A24" s="2" t="s">
        <v>198</v>
      </c>
      <c r="B24" s="4" t="s">
        <v>118</v>
      </c>
      <c r="C24" s="4" t="s">
        <v>197</v>
      </c>
      <c r="D24" s="4" t="s">
        <v>161</v>
      </c>
      <c r="P24" s="2" t="s">
        <v>64</v>
      </c>
      <c r="Q24" s="3">
        <v>531.82000000000005</v>
      </c>
      <c r="R24" s="3">
        <v>232.78</v>
      </c>
      <c r="S24" s="3">
        <v>264.5</v>
      </c>
      <c r="T24" s="3">
        <v>2088</v>
      </c>
    </row>
    <row r="25" spans="1:20" ht="22.05" customHeight="1" x14ac:dyDescent="0.3">
      <c r="A25" s="5" t="s">
        <v>199</v>
      </c>
      <c r="B25" s="7" t="s">
        <v>116</v>
      </c>
      <c r="C25" s="7" t="s">
        <v>197</v>
      </c>
      <c r="D25" s="7" t="s">
        <v>161</v>
      </c>
      <c r="P25" s="5" t="s">
        <v>66</v>
      </c>
      <c r="Q25" s="6">
        <v>532.47</v>
      </c>
      <c r="R25" s="6">
        <v>240.96</v>
      </c>
      <c r="S25" s="6">
        <v>257.92</v>
      </c>
      <c r="T25" s="6">
        <v>2100</v>
      </c>
    </row>
    <row r="26" spans="1:20" ht="22.05" customHeight="1" x14ac:dyDescent="0.3">
      <c r="A26" s="2" t="s">
        <v>200</v>
      </c>
      <c r="B26" s="4" t="s">
        <v>141</v>
      </c>
      <c r="C26" s="4" t="s">
        <v>201</v>
      </c>
      <c r="D26" s="4" t="s">
        <v>161</v>
      </c>
      <c r="P26" s="2" t="s">
        <v>68</v>
      </c>
      <c r="Q26" s="3">
        <v>516.42999999999995</v>
      </c>
      <c r="R26" s="3">
        <v>237.31</v>
      </c>
      <c r="S26" s="3">
        <v>247.66</v>
      </c>
      <c r="T26" s="3">
        <v>2092</v>
      </c>
    </row>
    <row r="27" spans="1:20" ht="22.05" customHeight="1" x14ac:dyDescent="0.3">
      <c r="A27" s="5" t="s">
        <v>202</v>
      </c>
      <c r="B27" s="7" t="s">
        <v>141</v>
      </c>
      <c r="C27" s="7" t="s">
        <v>201</v>
      </c>
      <c r="D27" s="7" t="s">
        <v>161</v>
      </c>
      <c r="P27" s="5" t="s">
        <v>69</v>
      </c>
      <c r="Q27" s="6">
        <v>534.44000000000005</v>
      </c>
      <c r="R27" s="6">
        <v>234.62</v>
      </c>
      <c r="S27" s="6">
        <v>265.3</v>
      </c>
      <c r="T27" s="6">
        <v>2100</v>
      </c>
    </row>
    <row r="28" spans="1:20" ht="22.05" customHeight="1" x14ac:dyDescent="0.3">
      <c r="A28" s="2" t="s">
        <v>203</v>
      </c>
      <c r="B28" s="4" t="s">
        <v>142</v>
      </c>
      <c r="C28" s="4" t="s">
        <v>201</v>
      </c>
      <c r="D28" s="4" t="s">
        <v>161</v>
      </c>
      <c r="P28" s="2" t="s">
        <v>70</v>
      </c>
      <c r="Q28" s="3">
        <v>532.88</v>
      </c>
      <c r="R28" s="3">
        <v>247.76</v>
      </c>
      <c r="S28" s="3">
        <v>251.81</v>
      </c>
      <c r="T28" s="3">
        <v>2127</v>
      </c>
    </row>
    <row r="29" spans="1:20" x14ac:dyDescent="0.3">
      <c r="A29" s="5" t="s">
        <v>204</v>
      </c>
      <c r="B29" s="7" t="s">
        <v>205</v>
      </c>
      <c r="C29" s="7" t="s">
        <v>206</v>
      </c>
      <c r="D29" s="7" t="s">
        <v>207</v>
      </c>
      <c r="P29" s="5" t="s">
        <v>71</v>
      </c>
      <c r="Q29" s="6">
        <v>527.28</v>
      </c>
      <c r="R29" s="6">
        <v>240.72</v>
      </c>
      <c r="S29" s="6">
        <v>253.92</v>
      </c>
      <c r="T29" s="6">
        <v>2080</v>
      </c>
    </row>
    <row r="30" spans="1:20" ht="25.95" customHeight="1" x14ac:dyDescent="0.3"/>
    <row r="31" spans="1:20" ht="28.05" customHeight="1" x14ac:dyDescent="0.3"/>
    <row r="32" spans="1:20" ht="22.05" customHeight="1" x14ac:dyDescent="0.3"/>
    <row r="33" ht="22.05" customHeight="1" x14ac:dyDescent="0.3"/>
    <row r="34" ht="22.05" customHeight="1" x14ac:dyDescent="0.3"/>
    <row r="35" ht="22.05" customHeight="1" x14ac:dyDescent="0.3"/>
    <row r="37" ht="25.95" customHeight="1" x14ac:dyDescent="0.3"/>
    <row r="38" ht="28.05" customHeight="1" x14ac:dyDescent="0.3"/>
    <row r="39" ht="22.05" customHeight="1" x14ac:dyDescent="0.3"/>
    <row r="40" ht="22.05" customHeight="1" x14ac:dyDescent="0.3"/>
    <row r="41" ht="22.05" customHeight="1" x14ac:dyDescent="0.3"/>
    <row r="42" ht="22.05" customHeight="1" x14ac:dyDescent="0.3"/>
    <row r="44" ht="25.95" customHeight="1" x14ac:dyDescent="0.3"/>
    <row r="45" ht="28.05" customHeight="1" x14ac:dyDescent="0.3"/>
    <row r="46" ht="22.05" customHeight="1" x14ac:dyDescent="0.3"/>
    <row r="47" ht="22.05" customHeight="1" x14ac:dyDescent="0.3"/>
    <row r="48" ht="22.05" customHeight="1" x14ac:dyDescent="0.3"/>
    <row r="49" ht="22.05" customHeight="1" x14ac:dyDescent="0.3"/>
    <row r="50" ht="22.05" customHeight="1" x14ac:dyDescent="0.3"/>
    <row r="51" ht="22.05" customHeight="1" x14ac:dyDescent="0.3"/>
    <row r="52" ht="22.05" customHeight="1" x14ac:dyDescent="0.3"/>
    <row r="53" ht="22.05" customHeight="1" x14ac:dyDescent="0.3"/>
    <row r="54" ht="22.05" customHeight="1" x14ac:dyDescent="0.3"/>
    <row r="55" ht="22.05" customHeight="1" x14ac:dyDescent="0.3"/>
    <row r="56" ht="22.05" customHeight="1" x14ac:dyDescent="0.3"/>
    <row r="57" ht="22.05" customHeight="1" x14ac:dyDescent="0.3"/>
    <row r="58" ht="22.05" customHeight="1" x14ac:dyDescent="0.3"/>
    <row r="59" ht="22.05" customHeight="1" x14ac:dyDescent="0.3"/>
    <row r="60" ht="22.05" customHeight="1" x14ac:dyDescent="0.3"/>
    <row r="61" ht="22.05" customHeight="1" x14ac:dyDescent="0.3"/>
    <row r="62" ht="22.05" customHeight="1" x14ac:dyDescent="0.3"/>
    <row r="63" ht="22.05" customHeight="1" x14ac:dyDescent="0.3"/>
    <row r="64" ht="22.05" customHeight="1" x14ac:dyDescent="0.3"/>
    <row r="65" ht="22.05" customHeight="1" x14ac:dyDescent="0.3"/>
    <row r="66" ht="22.05" customHeight="1" x14ac:dyDescent="0.3"/>
    <row r="67" ht="22.05" customHeight="1" x14ac:dyDescent="0.3"/>
    <row r="68" ht="22.05" customHeight="1" x14ac:dyDescent="0.3"/>
    <row r="69" ht="22.05" customHeight="1" x14ac:dyDescent="0.3"/>
  </sheetData>
  <mergeCells count="6">
    <mergeCell ref="A4:D4"/>
    <mergeCell ref="P4:T4"/>
    <mergeCell ref="F11:M11"/>
    <mergeCell ref="F4:N4"/>
    <mergeCell ref="A1:U1"/>
    <mergeCell ref="A2:U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Dashboard</vt:lpstr>
      <vt:lpstr>ChartData</vt:lpstr>
      <vt:lpstr>⭐ Performance Metrics</vt:lpstr>
      <vt:lpstr>📈 KPI Charts</vt:lpstr>
      <vt:lpstr>👥 Workforce Overview</vt:lpstr>
      <vt:lpstr>📋 Summary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 singh</cp:lastModifiedBy>
  <dcterms:created xsi:type="dcterms:W3CDTF">2026-05-24T10:59:17Z</dcterms:created>
  <dcterms:modified xsi:type="dcterms:W3CDTF">2026-05-24T11:42:23Z</dcterms:modified>
</cp:coreProperties>
</file>